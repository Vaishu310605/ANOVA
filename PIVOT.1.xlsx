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Z:\"/>
    </mc:Choice>
  </mc:AlternateContent>
  <xr:revisionPtr revIDLastSave="0" documentId="8_{5D45933E-305B-40B0-9105-07CA83CCE93C}" xr6:coauthVersionLast="47" xr6:coauthVersionMax="47" xr10:uidLastSave="{00000000-0000-0000-0000-000000000000}"/>
  <bookViews>
    <workbookView xWindow="-120" yWindow="-120" windowWidth="29040" windowHeight="15720" activeTab="3" xr2:uid="{FB541BB5-8003-4A7A-BA40-ECE03B302F1D}"/>
  </bookViews>
  <sheets>
    <sheet name="Sheet2" sheetId="4" r:id="rId1"/>
    <sheet name="Sheet1" sheetId="1" r:id="rId2"/>
    <sheet name="Sheet5" sheetId="8" r:id="rId3"/>
    <sheet name="Sheet1 (3)" sheetId="6" r:id="rId4"/>
  </sheets>
  <definedNames>
    <definedName name="Slicer_Category">#N/A</definedName>
    <definedName name="Slicer_Quantity">#N/A</definedName>
    <definedName name="Slicer_Region">#N/A</definedName>
    <definedName name="Slicer_Salesperson">#N/A</definedName>
  </definedNames>
  <calcPr calcId="191029"/>
  <pivotCaches>
    <pivotCache cacheId="27" r:id="rId5"/>
    <pivotCache cacheId="22" r:id="rId6"/>
    <pivotCache cacheId="3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2DBE0F-869A-4BCB-B92F-011844824C81}" keepAlive="1" name="Query - Sheet1 (3)" description="Connection to the 'Sheet1 (3)' query in the workbook." type="5" refreshedVersion="0" background="1">
    <dbPr connection="Provider=Microsoft.Mashup.OleDb.1;Data Source=$Workbook$;Location=&quot;Sheet1 (3)&quot;;Extended Properties=&quot;&quot;" command="SELECT * FROM [Sheet1 (3)]"/>
  </connection>
</connections>
</file>

<file path=xl/sharedStrings.xml><?xml version="1.0" encoding="utf-8"?>
<sst xmlns="http://schemas.openxmlformats.org/spreadsheetml/2006/main" count="231" uniqueCount="94">
  <si>
    <t>Column1</t>
  </si>
  <si>
    <t>Annual Returns on Investments in</t>
  </si>
  <si>
    <t>Column3</t>
  </si>
  <si>
    <t>Column4</t>
  </si>
  <si>
    <t>Column5</t>
  </si>
  <si>
    <t>Column6</t>
  </si>
  <si>
    <t>Column7</t>
  </si>
  <si>
    <t>Year</t>
  </si>
  <si>
    <t>Stocks</t>
  </si>
  <si>
    <t>T.Bills</t>
  </si>
  <si>
    <t>T.Bonds</t>
  </si>
  <si>
    <t>stocks</t>
  </si>
  <si>
    <t>tbills</t>
  </si>
  <si>
    <t>bonds</t>
  </si>
  <si>
    <t>averages</t>
  </si>
  <si>
    <t>Method A</t>
  </si>
  <si>
    <t>Method B</t>
  </si>
  <si>
    <t>Method C</t>
  </si>
  <si>
    <t>Anova: Single Factor</t>
  </si>
  <si>
    <t>SUMMARY</t>
  </si>
  <si>
    <t>Groups</t>
  </si>
  <si>
    <t>Count</t>
  </si>
  <si>
    <t>Sum</t>
  </si>
  <si>
    <t>Average</t>
  </si>
  <si>
    <t>Variance</t>
  </si>
  <si>
    <t>Column 1</t>
  </si>
  <si>
    <t>Column 2</t>
  </si>
  <si>
    <t>Column 3</t>
  </si>
  <si>
    <t>ANOVA</t>
  </si>
  <si>
    <t>Source of Variation</t>
  </si>
  <si>
    <t>SS</t>
  </si>
  <si>
    <t>df</t>
  </si>
  <si>
    <t>MS</t>
  </si>
  <si>
    <t>F</t>
  </si>
  <si>
    <t>P-value</t>
  </si>
  <si>
    <t>F crit</t>
  </si>
  <si>
    <t>Between Groups</t>
  </si>
  <si>
    <t>Within Groups</t>
  </si>
  <si>
    <t>Total</t>
  </si>
  <si>
    <t>Anova: Two-Factor With Replication</t>
  </si>
  <si>
    <t>Sample</t>
  </si>
  <si>
    <t>Columns</t>
  </si>
  <si>
    <t>Interaction</t>
  </si>
  <si>
    <t>Within</t>
  </si>
  <si>
    <t>Gender</t>
  </si>
  <si>
    <t>Boys</t>
  </si>
  <si>
    <t>Girls</t>
  </si>
  <si>
    <t>Anova: Two-Factor Without Replication</t>
  </si>
  <si>
    <t>Row 1</t>
  </si>
  <si>
    <t>Row 2</t>
  </si>
  <si>
    <t>Row 3</t>
  </si>
  <si>
    <t>Row 4</t>
  </si>
  <si>
    <t>Rows</t>
  </si>
  <si>
    <t>Error</t>
  </si>
  <si>
    <t>Row Labels</t>
  </si>
  <si>
    <t>Grand Total</t>
  </si>
  <si>
    <t>OrderID</t>
  </si>
  <si>
    <t>Date</t>
  </si>
  <si>
    <t>Region</t>
  </si>
  <si>
    <t>Product</t>
  </si>
  <si>
    <t>Category</t>
  </si>
  <si>
    <t>Salesperson</t>
  </si>
  <si>
    <t>Quantity</t>
  </si>
  <si>
    <t>UnitPrice</t>
  </si>
  <si>
    <t>O101</t>
  </si>
  <si>
    <t>East</t>
  </si>
  <si>
    <t>Laptop</t>
  </si>
  <si>
    <t>Electronics</t>
  </si>
  <si>
    <t>Ravi</t>
  </si>
  <si>
    <t>O102</t>
  </si>
  <si>
    <t>West</t>
  </si>
  <si>
    <t>Mouse</t>
  </si>
  <si>
    <t>Accessories</t>
  </si>
  <si>
    <t>Priya</t>
  </si>
  <si>
    <t>O103</t>
  </si>
  <si>
    <t>South</t>
  </si>
  <si>
    <t>Keyboard</t>
  </si>
  <si>
    <t>Arjun</t>
  </si>
  <si>
    <t>O104</t>
  </si>
  <si>
    <t>North</t>
  </si>
  <si>
    <t>Sneha</t>
  </si>
  <si>
    <t>O105</t>
  </si>
  <si>
    <t>Printer</t>
  </si>
  <si>
    <t>O106</t>
  </si>
  <si>
    <t>O107</t>
  </si>
  <si>
    <t>Monitor</t>
  </si>
  <si>
    <t>O108</t>
  </si>
  <si>
    <t>O109</t>
  </si>
  <si>
    <t>O110</t>
  </si>
  <si>
    <t>Sum of UnitPrice</t>
  </si>
  <si>
    <t>Average of UnitPrice</t>
  </si>
  <si>
    <t>Sum of Quantity</t>
  </si>
  <si>
    <t>Sum of Sum of Quantity</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</si>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</sst>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i/>
      <sz val="10"/>
      <color theme="1"/>
      <name val="Calibri"/>
      <family val="2"/>
      <scheme val="minor"/>
    </font>
    <font>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5"/>
      </patternFill>
    </fill>
    <fill>
      <patternFill patternType="solid">
        <fgColor theme="7" tint="0.39997558519241921"/>
        <bgColor indexed="65"/>
      </patternFill>
    </fill>
  </fills>
  <borders count="13">
    <border>
      <left/>
      <right/>
      <top/>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right/>
      <top/>
      <bottom style="medium">
        <color indexed="1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bottom style="medium">
        <color indexed="18"/>
      </bottom>
      <diagonal/>
    </border>
  </borders>
  <cellStyleXfs count="3">
    <xf numFmtId="0" fontId="0" fillId="0" borderId="0"/>
    <xf numFmtId="0" fontId="5" fillId="2" borderId="0" applyNumberFormat="0" applyBorder="0" applyAlignment="0" applyProtection="0"/>
    <xf numFmtId="0" fontId="4" fillId="3" borderId="0" applyNumberFormat="0" applyBorder="0" applyAlignment="0" applyProtection="0"/>
  </cellStyleXfs>
  <cellXfs count="2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2" xfId="0" applyBorder="1"/>
    <xf numFmtId="0" fontId="2" fillId="0" borderId="3" xfId="0" applyFont="1" applyBorder="1" applyAlignment="1">
      <alignment horizontal="center"/>
    </xf>
    <xf numFmtId="0" fontId="3" fillId="0" borderId="4" xfId="0" applyFont="1" applyBorder="1" applyAlignment="1">
      <alignment horizontal="right"/>
    </xf>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2" fillId="0" borderId="11" xfId="0" applyFont="1" applyBorder="1" applyAlignment="1">
      <alignment horizontal="center"/>
    </xf>
    <xf numFmtId="0" fontId="1" fillId="0" borderId="8" xfId="0" applyFont="1" applyBorder="1" applyAlignment="1">
      <alignment horizontal="center" vertical="center" wrapText="1"/>
    </xf>
    <xf numFmtId="0" fontId="0" fillId="0" borderId="8" xfId="0" applyBorder="1" applyAlignment="1">
      <alignment vertical="center" wrapText="1"/>
    </xf>
    <xf numFmtId="0" fontId="3" fillId="0" borderId="12" xfId="0" applyFont="1" applyBorder="1" applyAlignment="1">
      <alignment horizontal="right"/>
    </xf>
    <xf numFmtId="0" fontId="0" fillId="0" borderId="0" xfId="0" pivotButton="1"/>
    <xf numFmtId="0" fontId="0" fillId="0" borderId="0" xfId="0" applyAlignment="1">
      <alignment horizontal="left"/>
    </xf>
    <xf numFmtId="0" fontId="0" fillId="0" borderId="0" xfId="0" applyAlignment="1">
      <alignment horizontal="left" indent="1"/>
    </xf>
    <xf numFmtId="0" fontId="5" fillId="2" borderId="0" xfId="1" applyAlignment="1">
      <alignment horizontal="center" vertical="center" wrapText="1"/>
    </xf>
    <xf numFmtId="0" fontId="4" fillId="3" borderId="0" xfId="2" applyAlignment="1">
      <alignment vertical="center" wrapText="1"/>
    </xf>
    <xf numFmtId="15" fontId="4" fillId="3" borderId="0" xfId="2" applyNumberFormat="1" applyAlignment="1">
      <alignment vertical="center" wrapText="1"/>
    </xf>
    <xf numFmtId="0" fontId="0" fillId="0" borderId="0" xfId="0" applyNumberFormat="1"/>
  </cellXfs>
  <cellStyles count="3">
    <cellStyle name="60% - Accent4" xfId="2" builtinId="44"/>
    <cellStyle name="Accent2" xfId="1" builtinId="3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4.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[PIVOT.1.xlsx]Sheet1 (3)!PivotTable6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 (3)'!$C$31</c:f>
              <c:strCache>
                <c:ptCount val="1"/>
                <c:pt idx="0">
                  <c:v>Total</c:v>
                </c:pt>
              </c:strCache>
            </c:strRef>
          </c:tx>
          <c:spPr>
            <a:solidFill>
              <a:schemeClr val="accent1"/>
            </a:solidFill>
            <a:ln>
              <a:noFill/>
            </a:ln>
            <a:effectLst/>
          </c:spPr>
          <c:invertIfNegative val="0"/>
          <c:cat>
            <c:strRef>
              <c:f>'Sheet1 (3)'!$B$32:$B$36</c:f>
              <c:strCache>
                <c:ptCount val="4"/>
                <c:pt idx="0">
                  <c:v>Grand Total</c:v>
                </c:pt>
                <c:pt idx="1">
                  <c:v>Priya</c:v>
                </c:pt>
                <c:pt idx="2">
                  <c:v>Ravi</c:v>
                </c:pt>
                <c:pt idx="3">
                  <c:v>Sneha</c:v>
                </c:pt>
              </c:strCache>
            </c:strRef>
          </c:cat>
          <c:val>
            <c:numRef>
              <c:f>'Sheet1 (3)'!$C$32:$C$36</c:f>
              <c:numCache>
                <c:formatCode>General</c:formatCode>
                <c:ptCount val="4"/>
                <c:pt idx="0">
                  <c:v>3</c:v>
                </c:pt>
                <c:pt idx="1">
                  <c:v>1</c:v>
                </c:pt>
                <c:pt idx="2">
                  <c:v>1</c:v>
                </c:pt>
                <c:pt idx="3">
                  <c:v>1</c:v>
                </c:pt>
              </c:numCache>
            </c:numRef>
          </c:val>
          <c:extLst>
            <c:ext xmlns:c16="http://schemas.microsoft.com/office/drawing/2014/chart" uri="{C3380CC4-5D6E-409C-BE32-E72D297353CC}">
              <c16:uniqueId val="{00000000-CA2C-433C-BBFE-754586FC05BA}"/>
            </c:ext>
          </c:extLst>
        </c:ser>
        <c:dLbls>
          <c:showLegendKey val="0"/>
          <c:showVal val="0"/>
          <c:showCatName val="0"/>
          <c:showSerName val="0"/>
          <c:showPercent val="0"/>
          <c:showBubbleSize val="0"/>
        </c:dLbls>
        <c:gapWidth val="219"/>
        <c:overlap val="-27"/>
        <c:axId val="1215952847"/>
        <c:axId val="1215951407"/>
      </c:barChart>
      <c:catAx>
        <c:axId val="121595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51407"/>
        <c:crosses val="autoZero"/>
        <c:auto val="1"/>
        <c:lblAlgn val="ctr"/>
        <c:lblOffset val="100"/>
        <c:noMultiLvlLbl val="0"/>
      </c:catAx>
      <c:valAx>
        <c:axId val="121595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95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1238250</xdr:colOff>
      <xdr:row>15</xdr:row>
      <xdr:rowOff>0</xdr:rowOff>
    </xdr:from>
    <xdr:to>
      <xdr:col>5</xdr:col>
      <xdr:colOff>342900</xdr:colOff>
      <xdr:row>28</xdr:row>
      <xdr:rowOff>47625</xdr:rowOff>
    </xdr:to>
    <mc:AlternateContent xmlns:mc="http://schemas.openxmlformats.org/markup-compatibility/2006">
      <mc:Choice xmlns:a14="http://schemas.microsoft.com/office/drawing/2010/main" Requires="a14">
        <xdr:graphicFrame macro="">
          <xdr:nvGraphicFramePr>
            <xdr:cNvPr id="2" name="Salesperson">
              <a:extLst>
                <a:ext uri="{FF2B5EF4-FFF2-40B4-BE49-F238E27FC236}">
                  <a16:creationId xmlns:a16="http://schemas.microsoft.com/office/drawing/2014/main" id="{CC3AD3EA-A2E9-2EF6-05D5-9FE783EA097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2647950" y="3429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14</xdr:row>
      <xdr:rowOff>352425</xdr:rowOff>
    </xdr:from>
    <xdr:to>
      <xdr:col>2</xdr:col>
      <xdr:colOff>962025</xdr:colOff>
      <xdr:row>28</xdr:row>
      <xdr:rowOff>19050</xdr:rowOff>
    </xdr:to>
    <mc:AlternateContent xmlns:mc="http://schemas.openxmlformats.org/markup-compatibility/2006">
      <mc:Choice xmlns:a14="http://schemas.microsoft.com/office/drawing/2010/main" Requires="a14">
        <xdr:graphicFrame macro="">
          <xdr:nvGraphicFramePr>
            <xdr:cNvPr id="3" name="Quantity">
              <a:extLst>
                <a:ext uri="{FF2B5EF4-FFF2-40B4-BE49-F238E27FC236}">
                  <a16:creationId xmlns:a16="http://schemas.microsoft.com/office/drawing/2014/main" id="{B3731556-FEF2-B847-F419-1F599CA1CEF1}"/>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752475" y="3400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30</xdr:row>
      <xdr:rowOff>61912</xdr:rowOff>
    </xdr:from>
    <xdr:to>
      <xdr:col>9</xdr:col>
      <xdr:colOff>304800</xdr:colOff>
      <xdr:row>44</xdr:row>
      <xdr:rowOff>138112</xdr:rowOff>
    </xdr:to>
    <xdr:graphicFrame macro="">
      <xdr:nvGraphicFramePr>
        <xdr:cNvPr id="4" name="Chart 3">
          <a:extLst>
            <a:ext uri="{FF2B5EF4-FFF2-40B4-BE49-F238E27FC236}">
              <a16:creationId xmlns:a16="http://schemas.microsoft.com/office/drawing/2014/main" id="{9F591038-E750-4B42-4360-7691A0F09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28575</xdr:colOff>
      <xdr:row>9</xdr:row>
      <xdr:rowOff>371475</xdr:rowOff>
    </xdr:from>
    <xdr:to>
      <xdr:col>21</xdr:col>
      <xdr:colOff>28575</xdr:colOff>
      <xdr:row>22</xdr:row>
      <xdr:rowOff>38100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8C8684A-D82D-AB09-44CA-89BAA27308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868525" y="2276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xdr:colOff>
      <xdr:row>9</xdr:row>
      <xdr:rowOff>361950</xdr:rowOff>
    </xdr:from>
    <xdr:to>
      <xdr:col>17</xdr:col>
      <xdr:colOff>971550</xdr:colOff>
      <xdr:row>22</xdr:row>
      <xdr:rowOff>28575</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65D0B325-6828-AB73-294A-2A20503E41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15900" y="2266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H2" refreshedDate="46179.592872800924" createdVersion="8" refreshedVersion="8" minRefreshableVersion="3" recordCount="10" xr:uid="{8529F0DF-08E7-44FB-A48A-611632101E36}">
  <cacheSource type="worksheet">
    <worksheetSource ref="H7:O17" sheet="Sheet1 (3)"/>
  </cacheSource>
  <cacheFields count="8">
    <cacheField name="OrderID" numFmtId="0">
      <sharedItems/>
    </cacheField>
    <cacheField name="Date" numFmtId="15">
      <sharedItems containsSemiMixedTypes="0" containsNonDate="0" containsDate="1" containsString="0" minDate="2025-01-01T00:00:00" maxDate="2025-01-11T00:00:00"/>
    </cacheField>
    <cacheField name="Region" numFmtId="0">
      <sharedItems count="4">
        <s v="East"/>
        <s v="West"/>
        <s v="South"/>
        <s v="North"/>
      </sharedItems>
    </cacheField>
    <cacheField name="Product" numFmtId="0">
      <sharedItems/>
    </cacheField>
    <cacheField name="Category" numFmtId="0">
      <sharedItems count="2">
        <s v="Electronics"/>
        <s v="Accessories"/>
      </sharedItems>
    </cacheField>
    <cacheField name="Salesperson" numFmtId="0">
      <sharedItems count="4">
        <s v="Ravi"/>
        <s v="Priya"/>
        <s v="Arjun"/>
        <s v="Sneha"/>
      </sharedItems>
    </cacheField>
    <cacheField name="Quantity" numFmtId="0">
      <sharedItems containsSemiMixedTypes="0" containsString="0" containsNumber="1" containsInteger="1" minValue="1" maxValue="10" count="6">
        <n v="2"/>
        <n v="5"/>
        <n v="3"/>
        <n v="1"/>
        <n v="10"/>
        <n v="4"/>
      </sharedItems>
    </cacheField>
    <cacheField name="UnitPrice" numFmtId="0">
      <sharedItems containsSemiMixedTypes="0" containsString="0" containsNumber="1" containsInteger="1" minValue="500" maxValue="50000"/>
    </cacheField>
  </cacheFields>
  <extLst>
    <ext xmlns:x14="http://schemas.microsoft.com/office/spreadsheetml/2009/9/main" uri="{725AE2AE-9491-48be-B2B4-4EB974FC3084}">
      <x14:pivotCacheDefinition pivotCacheId="97491506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H2" refreshedDate="46179.59793541667" createdVersion="8" refreshedVersion="8" minRefreshableVersion="3" recordCount="4" xr:uid="{3F98D9B7-CB2A-4550-96C7-68F2E07B5467}">
  <cacheSource type="worksheet">
    <worksheetSource ref="B9:C13" sheet="Sheet1 (3)"/>
  </cacheSource>
  <cacheFields count="2">
    <cacheField name="Row Labels" numFmtId="0">
      <sharedItems count="4">
        <s v="Priya"/>
        <s v="Ravi"/>
        <s v="Sneha"/>
        <s v="Grand Total"/>
      </sharedItems>
    </cacheField>
    <cacheField name="Sum of Quantity"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H2" refreshedDate="46179.606013194447" createdVersion="8" refreshedVersion="8" minRefreshableVersion="3" recordCount="10" xr:uid="{8C17081D-4400-4B3C-AE25-112EA7F97194}">
  <cacheSource type="worksheet">
    <worksheetSource ref="H7:O17" sheet="Sheet1 (3)"/>
  </cacheSource>
  <cacheFields count="8">
    <cacheField name="OrderID" numFmtId="0">
      <sharedItems count="10">
        <s v="O101"/>
        <s v="O102"/>
        <s v="O103"/>
        <s v="O104"/>
        <s v="O105"/>
        <s v="O106"/>
        <s v="O107"/>
        <s v="O108"/>
        <s v="O109"/>
        <s v="O110"/>
      </sharedItems>
    </cacheField>
    <cacheField name="Date" numFmtId="15">
      <sharedItems containsSemiMixedTypes="0" containsNonDate="0" containsDate="1" containsString="0" minDate="2025-01-01T00:00:00" maxDate="2025-01-11T00:00:00"/>
    </cacheField>
    <cacheField name="Region" numFmtId="0">
      <sharedItems/>
    </cacheField>
    <cacheField name="Product" numFmtId="0">
      <sharedItems count="5">
        <s v="Laptop"/>
        <s v="Mouse"/>
        <s v="Keyboard"/>
        <s v="Printer"/>
        <s v="Monitor"/>
      </sharedItems>
    </cacheField>
    <cacheField name="Category" numFmtId="0">
      <sharedItems count="2">
        <s v="Electronics"/>
        <s v="Accessories"/>
      </sharedItems>
    </cacheField>
    <cacheField name="Salesperson" numFmtId="0">
      <sharedItems/>
    </cacheField>
    <cacheField name="Quantity" numFmtId="0">
      <sharedItems containsSemiMixedTypes="0" containsString="0" containsNumber="1" containsInteger="1" minValue="1" maxValue="10"/>
    </cacheField>
    <cacheField name="UnitPrice" numFmtId="0">
      <sharedItems containsSemiMixedTypes="0" containsString="0" containsNumber="1" containsInteger="1" minValue="500" maxValue="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101"/>
    <d v="2025-01-01T00:00:00"/>
    <x v="0"/>
    <s v="Laptop"/>
    <x v="0"/>
    <x v="0"/>
    <x v="0"/>
    <n v="50000"/>
  </r>
  <r>
    <s v="O102"/>
    <d v="2025-01-02T00:00:00"/>
    <x v="1"/>
    <s v="Mouse"/>
    <x v="1"/>
    <x v="1"/>
    <x v="1"/>
    <n v="500"/>
  </r>
  <r>
    <s v="O103"/>
    <d v="2025-01-03T00:00:00"/>
    <x v="2"/>
    <s v="Keyboard"/>
    <x v="1"/>
    <x v="2"/>
    <x v="2"/>
    <n v="1200"/>
  </r>
  <r>
    <s v="O104"/>
    <d v="2025-01-04T00:00:00"/>
    <x v="3"/>
    <s v="Laptop"/>
    <x v="0"/>
    <x v="3"/>
    <x v="3"/>
    <n v="50000"/>
  </r>
  <r>
    <s v="O105"/>
    <d v="2025-01-05T00:00:00"/>
    <x v="0"/>
    <s v="Printer"/>
    <x v="0"/>
    <x v="0"/>
    <x v="0"/>
    <n v="15000"/>
  </r>
  <r>
    <s v="O106"/>
    <d v="2025-01-06T00:00:00"/>
    <x v="1"/>
    <s v="Mouse"/>
    <x v="1"/>
    <x v="1"/>
    <x v="4"/>
    <n v="500"/>
  </r>
  <r>
    <s v="O107"/>
    <d v="2025-01-07T00:00:00"/>
    <x v="2"/>
    <s v="Monitor"/>
    <x v="0"/>
    <x v="2"/>
    <x v="0"/>
    <n v="12000"/>
  </r>
  <r>
    <s v="O108"/>
    <d v="2025-01-08T00:00:00"/>
    <x v="3"/>
    <s v="Keyboard"/>
    <x v="1"/>
    <x v="3"/>
    <x v="5"/>
    <n v="1200"/>
  </r>
  <r>
    <s v="O109"/>
    <d v="2025-01-09T00:00:00"/>
    <x v="0"/>
    <s v="Monitor"/>
    <x v="0"/>
    <x v="0"/>
    <x v="3"/>
    <n v="12000"/>
  </r>
  <r>
    <s v="O110"/>
    <d v="2025-01-10T00:00:00"/>
    <x v="1"/>
    <s v="Printer"/>
    <x v="0"/>
    <x v="1"/>
    <x v="3"/>
    <n v="1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1"/>
  </r>
  <r>
    <x v="1"/>
    <n v="1"/>
  </r>
  <r>
    <x v="2"/>
    <n v="1"/>
  </r>
  <r>
    <x v="3"/>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d v="2025-01-01T00:00:00"/>
    <s v="East"/>
    <x v="0"/>
    <x v="0"/>
    <s v="Ravi"/>
    <n v="2"/>
    <n v="50000"/>
  </r>
  <r>
    <x v="1"/>
    <d v="2025-01-02T00:00:00"/>
    <s v="West"/>
    <x v="1"/>
    <x v="1"/>
    <s v="Priya"/>
    <n v="5"/>
    <n v="500"/>
  </r>
  <r>
    <x v="2"/>
    <d v="2025-01-03T00:00:00"/>
    <s v="South"/>
    <x v="2"/>
    <x v="1"/>
    <s v="Arjun"/>
    <n v="3"/>
    <n v="1200"/>
  </r>
  <r>
    <x v="3"/>
    <d v="2025-01-04T00:00:00"/>
    <s v="North"/>
    <x v="0"/>
    <x v="0"/>
    <s v="Sneha"/>
    <n v="1"/>
    <n v="50000"/>
  </r>
  <r>
    <x v="4"/>
    <d v="2025-01-05T00:00:00"/>
    <s v="East"/>
    <x v="3"/>
    <x v="0"/>
    <s v="Ravi"/>
    <n v="2"/>
    <n v="15000"/>
  </r>
  <r>
    <x v="5"/>
    <d v="2025-01-06T00:00:00"/>
    <s v="West"/>
    <x v="1"/>
    <x v="1"/>
    <s v="Priya"/>
    <n v="10"/>
    <n v="500"/>
  </r>
  <r>
    <x v="6"/>
    <d v="2025-01-07T00:00:00"/>
    <s v="South"/>
    <x v="4"/>
    <x v="0"/>
    <s v="Arjun"/>
    <n v="2"/>
    <n v="12000"/>
  </r>
  <r>
    <x v="7"/>
    <d v="2025-01-08T00:00:00"/>
    <s v="North"/>
    <x v="2"/>
    <x v="1"/>
    <s v="Sneha"/>
    <n v="4"/>
    <n v="1200"/>
  </r>
  <r>
    <x v="8"/>
    <d v="2025-01-09T00:00:00"/>
    <s v="East"/>
    <x v="4"/>
    <x v="0"/>
    <s v="Ravi"/>
    <n v="1"/>
    <n v="12000"/>
  </r>
  <r>
    <x v="9"/>
    <d v="2025-01-10T00:00:00"/>
    <s v="West"/>
    <x v="3"/>
    <x v="0"/>
    <s v="Priya"/>
    <n v="1"/>
    <n v="1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D65F2E-F755-4D8C-A668-B6056374B25F}" name="PivotTable10"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8">
    <pivotField axis="axisRow" showAll="0">
      <items count="11">
        <item x="0"/>
        <item x="1"/>
        <item x="2"/>
        <item x="3"/>
        <item x="4"/>
        <item x="5"/>
        <item x="6"/>
        <item x="7"/>
        <item x="8"/>
        <item x="9"/>
        <item t="default"/>
      </items>
    </pivotField>
    <pivotField numFmtId="15" showAll="0"/>
    <pivotField showAll="0"/>
    <pivotField axis="axisRow" showAll="0">
      <items count="6">
        <item sd="0" x="2"/>
        <item sd="0" x="0"/>
        <item sd="0" x="4"/>
        <item sd="0" x="1"/>
        <item sd="0" x="3"/>
        <item t="default" sd="0"/>
      </items>
    </pivotField>
    <pivotField axis="axisRow" showAll="0">
      <items count="3">
        <item x="1"/>
        <item x="0"/>
        <item t="default"/>
      </items>
    </pivotField>
    <pivotField showAll="0"/>
    <pivotField showAll="0"/>
    <pivotField dataField="1" showAll="0"/>
  </pivotFields>
  <rowFields count="3">
    <field x="4"/>
    <field x="3"/>
    <field x="0"/>
  </rowFields>
  <rowItems count="8">
    <i>
      <x/>
    </i>
    <i r="1">
      <x/>
    </i>
    <i r="1">
      <x v="3"/>
    </i>
    <i>
      <x v="1"/>
    </i>
    <i r="1">
      <x v="1"/>
    </i>
    <i r="1">
      <x v="2"/>
    </i>
    <i r="1">
      <x v="4"/>
    </i>
    <i t="grand">
      <x/>
    </i>
  </rowItems>
  <colItems count="1">
    <i/>
  </colItems>
  <dataFields count="1">
    <dataField name="Average of UnitPrice"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762EC7-EE03-464A-A2D3-EC055B875FB1}" name="PivotTable11"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4:L29" firstHeaderRow="1" firstDataRow="1" firstDataCol="1"/>
  <pivotFields count="8">
    <pivotField axis="axisRow" showAll="0">
      <items count="11">
        <item x="0"/>
        <item x="1"/>
        <item x="2"/>
        <item x="3"/>
        <item x="4"/>
        <item x="5"/>
        <item x="6"/>
        <item x="7"/>
        <item x="8"/>
        <item x="9"/>
        <item t="default"/>
      </items>
    </pivotField>
    <pivotField numFmtId="15" showAll="0"/>
    <pivotField showAll="0"/>
    <pivotField axis="axisRow" showAll="0">
      <items count="6">
        <item sd="0" x="2"/>
        <item sd="0" x="0"/>
        <item sd="0" x="4"/>
        <item sd="0" x="1"/>
        <item sd="0" x="3"/>
        <item t="default" sd="0"/>
      </items>
    </pivotField>
    <pivotField axis="axisRow" showAll="0">
      <items count="3">
        <item x="1"/>
        <item sd="0" x="0"/>
        <item t="default"/>
      </items>
    </pivotField>
    <pivotField showAll="0"/>
    <pivotField showAll="0"/>
    <pivotField dataField="1" showAll="0"/>
  </pivotFields>
  <rowFields count="3">
    <field x="4"/>
    <field x="3"/>
    <field x="0"/>
  </rowFields>
  <rowItems count="5">
    <i>
      <x/>
    </i>
    <i r="1">
      <x/>
    </i>
    <i r="1">
      <x v="3"/>
    </i>
    <i>
      <x v="1"/>
    </i>
    <i t="grand">
      <x/>
    </i>
  </rowItems>
  <colItems count="1">
    <i/>
  </colItems>
  <dataFields count="1">
    <dataField name="Average of UnitPrice" fld="7"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C77629-FCB8-4EDD-BFBB-E6F653060D6F}" name="PivotTable8"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7:R9" firstHeaderRow="1" firstDataRow="1" firstDataCol="1"/>
  <pivotFields count="8">
    <pivotField showAll="0"/>
    <pivotField numFmtId="15" showAll="0"/>
    <pivotField axis="axisRow" showAll="0">
      <items count="5">
        <item h="1" x="0"/>
        <item h="1" x="3"/>
        <item h="1" x="2"/>
        <item x="1"/>
        <item t="default"/>
      </items>
    </pivotField>
    <pivotField showAll="0"/>
    <pivotField showAll="0">
      <items count="3">
        <item x="1"/>
        <item x="0"/>
        <item t="default"/>
      </items>
    </pivotField>
    <pivotField showAll="0"/>
    <pivotField showAll="0"/>
    <pivotField dataField="1" showAll="0"/>
  </pivotFields>
  <rowFields count="1">
    <field x="2"/>
  </rowFields>
  <rowItems count="2">
    <i>
      <x v="3"/>
    </i>
    <i t="grand">
      <x/>
    </i>
  </rowItems>
  <colItems count="1">
    <i/>
  </colItems>
  <dataFields count="1">
    <dataField name="Sum of Unit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6DB1D5-9544-4BB3-A8A8-006F3B2D1814}"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1:C36" firstHeaderRow="1" firstDataRow="1" firstDataCol="1"/>
  <pivotFields count="2">
    <pivotField axis="axisRow" showAll="0">
      <items count="5">
        <item x="3"/>
        <item x="0"/>
        <item x="1"/>
        <item x="2"/>
        <item t="default"/>
      </items>
    </pivotField>
    <pivotField dataField="1" showAll="0"/>
  </pivotFields>
  <rowFields count="1">
    <field x="0"/>
  </rowFields>
  <rowItems count="5">
    <i>
      <x/>
    </i>
    <i>
      <x v="1"/>
    </i>
    <i>
      <x v="2"/>
    </i>
    <i>
      <x v="3"/>
    </i>
    <i t="grand">
      <x/>
    </i>
  </rowItems>
  <colItems count="1">
    <i/>
  </colItems>
  <dataFields count="1">
    <dataField name="Sum of Sum of Quantity"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790386-520A-459A-B969-9908516F53F7}"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4" firstHeaderRow="1" firstDataRow="1" firstDataCol="1"/>
  <pivotFields count="8">
    <pivotField showAll="0"/>
    <pivotField numFmtId="15" showAll="0"/>
    <pivotField showAll="0"/>
    <pivotField showAll="0"/>
    <pivotField showAll="0"/>
    <pivotField axis="axisRow" showAll="0">
      <items count="5">
        <item x="2"/>
        <item x="1"/>
        <item x="0"/>
        <item x="3"/>
        <item t="default"/>
      </items>
    </pivotField>
    <pivotField dataField="1" showAll="0">
      <items count="7">
        <item x="3"/>
        <item x="0"/>
        <item x="2"/>
        <item x="5"/>
        <item x="1"/>
        <item x="4"/>
        <item t="default"/>
      </items>
    </pivotField>
    <pivotField showAll="0"/>
  </pivotFields>
  <rowFields count="1">
    <field x="5"/>
  </rowFields>
  <rowItems count="5">
    <i>
      <x/>
    </i>
    <i>
      <x v="1"/>
    </i>
    <i>
      <x v="2"/>
    </i>
    <i>
      <x v="3"/>
    </i>
    <i t="grand">
      <x/>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ED4893-5D61-4DF6-A608-4894FA059272}"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7" firstHeaderRow="1" firstDataRow="1" firstDataCol="1"/>
  <pivotFields count="8">
    <pivotField showAll="0"/>
    <pivotField numFmtId="15" showAll="0"/>
    <pivotField axis="axisRow" showAll="0">
      <items count="5">
        <item x="0"/>
        <item x="3"/>
        <item x="2"/>
        <item x="1"/>
        <item t="default"/>
      </items>
    </pivotField>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UnitPrice"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CDD57F7-23FD-44B3-942B-BBEDF84FC26F}" sourceName="Salesperson">
  <pivotTables>
    <pivotTable tabId="6" name="PivotTable5"/>
  </pivotTables>
  <data>
    <tabular pivotCacheId="97491506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6EA4A6D2-EE46-4F12-BE52-B23B9A8140C0}" sourceName="Quantity">
  <pivotTables>
    <pivotTable tabId="6" name="PivotTable5"/>
  </pivotTables>
  <data>
    <tabular pivotCacheId="974915062">
      <items count="6">
        <i x="3" s="1"/>
        <i x="0" s="1"/>
        <i x="2" s="1"/>
        <i x="5"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C7E9D6-E068-4957-8F7E-EB172017AE9E}" sourceName="Region">
  <pivotTables>
    <pivotTable tabId="6" name="PivotTable8"/>
  </pivotTables>
  <data>
    <tabular pivotCacheId="974915062">
      <items count="4">
        <i x="0"/>
        <i x="3"/>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486739C-1CCA-4ED0-88FC-5BB1A8879F5E}" sourceName="Category">
  <pivotTables>
    <pivotTable tabId="6" name="PivotTable8"/>
  </pivotTables>
  <data>
    <tabular pivotCacheId="9749150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D7EE99C5-9F11-405B-9AF9-A4F862A9E144}" cache="Slicer_Salesperson" caption="Salesperson" rowHeight="241300"/>
  <slicer name="Quantity" xr10:uid="{C3309FFC-0C4F-475A-A3F6-B6332517E29B}" cache="Slicer_Quantity" caption="Quantity" rowHeight="241300"/>
  <slicer name="Region" xr10:uid="{559996A8-3681-4A53-A714-C23AB29AD0DE}" cache="Slicer_Region" caption="Region" rowHeight="241300"/>
  <slicer name="Category" xr10:uid="{91ABC684-4261-4D3B-A7AC-95F2608082A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6B81D1-C1CD-4A7D-9E4E-A3467444E707}" name="Sheet14" displayName="Sheet14" ref="A1:G87" totalsRowShown="0">
  <autoFilter ref="A1:G87" xr:uid="{1A6B81D1-C1CD-4A7D-9E4E-A3467444E707}"/>
  <tableColumns count="7">
    <tableColumn id="1" xr3:uid="{9734FF6B-DCF7-469A-9FCD-8E1BA12F5038}" name="Column1"/>
    <tableColumn id="2" xr3:uid="{ADF88F4D-2B83-4F6F-AF65-397C8BE9C73C}" name="Annual Returns on Investments in"/>
    <tableColumn id="3" xr3:uid="{4AE68BE0-7095-48B7-AB79-61A81206FE07}" name="Column3"/>
    <tableColumn id="4" xr3:uid="{C20B7008-C826-4A17-973D-95131DBDAADE}" name="Column4"/>
    <tableColumn id="5" xr3:uid="{533FC7A5-7312-44B7-893F-D723AA36803F}" name="Column5"/>
    <tableColumn id="6" xr3:uid="{B10DE107-66E1-4CB6-A67F-012E7DA7AA19}" name="Column6"/>
    <tableColumn id="7" xr3:uid="{E35DBA8B-6EB6-401E-BBA1-857CC1B9D1D0}" name="Column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microsoft.com/office/2007/relationships/slicer" Target="../slicers/slicer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7BFDD-0DE5-4524-9E31-D3512043301B}">
  <dimension ref="A1:G86"/>
  <sheetViews>
    <sheetView workbookViewId="0">
      <selection sqref="A1:G87"/>
    </sheetView>
  </sheetViews>
  <sheetFormatPr defaultRowHeight="15" x14ac:dyDescent="0.25"/>
  <cols>
    <col min="1" max="1" width="11.140625" bestFit="1" customWidth="1"/>
    <col min="2" max="2" width="33.85546875" bestFit="1" customWidth="1"/>
    <col min="3" max="7" width="11.140625" bestFit="1" customWidth="1"/>
  </cols>
  <sheetData>
    <row r="1" spans="1:7" x14ac:dyDescent="0.25">
      <c r="A1" t="s">
        <v>0</v>
      </c>
      <c r="B1" t="s">
        <v>1</v>
      </c>
      <c r="C1" t="s">
        <v>2</v>
      </c>
      <c r="D1" t="s">
        <v>3</v>
      </c>
      <c r="E1" t="s">
        <v>4</v>
      </c>
      <c r="F1" t="s">
        <v>5</v>
      </c>
      <c r="G1" t="s">
        <v>6</v>
      </c>
    </row>
    <row r="2" spans="1:7" x14ac:dyDescent="0.25">
      <c r="A2" t="s">
        <v>7</v>
      </c>
      <c r="B2" t="s">
        <v>8</v>
      </c>
      <c r="C2" t="s">
        <v>9</v>
      </c>
      <c r="D2" t="s">
        <v>10</v>
      </c>
    </row>
    <row r="3" spans="1:7" x14ac:dyDescent="0.25">
      <c r="A3">
        <v>1928</v>
      </c>
      <c r="B3">
        <v>0.43809999999999999</v>
      </c>
      <c r="C3">
        <v>3.0800000000000001E-2</v>
      </c>
      <c r="D3">
        <v>8.3999999999999995E-3</v>
      </c>
    </row>
    <row r="4" spans="1:7" x14ac:dyDescent="0.25">
      <c r="A4">
        <v>1929</v>
      </c>
      <c r="B4">
        <v>-8.3000000000000004E-2</v>
      </c>
      <c r="C4">
        <v>3.1600000000000003E-2</v>
      </c>
      <c r="D4">
        <v>4.2000000000000003E-2</v>
      </c>
    </row>
    <row r="5" spans="1:7" x14ac:dyDescent="0.25">
      <c r="A5">
        <v>1930</v>
      </c>
      <c r="B5">
        <v>-0.25119999999999998</v>
      </c>
      <c r="C5">
        <v>4.5499999999999999E-2</v>
      </c>
      <c r="D5">
        <v>4.5400000000000003E-2</v>
      </c>
    </row>
    <row r="6" spans="1:7" x14ac:dyDescent="0.25">
      <c r="A6">
        <v>1931</v>
      </c>
      <c r="B6">
        <v>-0.43840000000000001</v>
      </c>
      <c r="C6">
        <v>2.3099999999999999E-2</v>
      </c>
      <c r="D6">
        <v>-2.5600000000000001E-2</v>
      </c>
    </row>
    <row r="7" spans="1:7" x14ac:dyDescent="0.25">
      <c r="A7">
        <v>1932</v>
      </c>
      <c r="B7">
        <v>-8.6400000000000005E-2</v>
      </c>
      <c r="C7">
        <v>1.0699999999999999E-2</v>
      </c>
      <c r="D7">
        <v>8.7900000000000006E-2</v>
      </c>
    </row>
    <row r="8" spans="1:7" x14ac:dyDescent="0.25">
      <c r="A8">
        <v>1933</v>
      </c>
      <c r="B8">
        <v>0.49980000000000002</v>
      </c>
      <c r="C8">
        <v>9.5999999999999992E-3</v>
      </c>
      <c r="D8">
        <v>1.8599999999999998E-2</v>
      </c>
    </row>
    <row r="9" spans="1:7" x14ac:dyDescent="0.25">
      <c r="A9">
        <v>1934</v>
      </c>
      <c r="B9">
        <v>-1.1900000000000001E-2</v>
      </c>
      <c r="C9">
        <v>3.0000000000000001E-3</v>
      </c>
      <c r="D9">
        <v>7.9600000000000004E-2</v>
      </c>
    </row>
    <row r="10" spans="1:7" x14ac:dyDescent="0.25">
      <c r="A10">
        <v>1935</v>
      </c>
      <c r="B10">
        <v>0.46739999999999998</v>
      </c>
      <c r="C10">
        <v>2.3E-3</v>
      </c>
      <c r="D10">
        <v>4.4699999999999997E-2</v>
      </c>
    </row>
    <row r="11" spans="1:7" x14ac:dyDescent="0.25">
      <c r="A11">
        <v>1936</v>
      </c>
      <c r="B11">
        <v>0.31940000000000002</v>
      </c>
      <c r="C11">
        <v>1.5E-3</v>
      </c>
      <c r="D11">
        <v>5.0200000000000002E-2</v>
      </c>
    </row>
    <row r="12" spans="1:7" x14ac:dyDescent="0.25">
      <c r="A12">
        <v>1937</v>
      </c>
      <c r="B12">
        <v>-0.35339999999999999</v>
      </c>
      <c r="C12">
        <v>1.1999999999999999E-3</v>
      </c>
      <c r="D12">
        <v>1.38E-2</v>
      </c>
    </row>
    <row r="13" spans="1:7" x14ac:dyDescent="0.25">
      <c r="A13">
        <v>1938</v>
      </c>
      <c r="B13">
        <v>0.2928</v>
      </c>
      <c r="C13">
        <v>1.1000000000000001E-3</v>
      </c>
      <c r="D13">
        <v>4.2099999999999999E-2</v>
      </c>
    </row>
    <row r="14" spans="1:7" x14ac:dyDescent="0.25">
      <c r="A14">
        <v>1939</v>
      </c>
      <c r="B14">
        <v>-1.0999999999999999E-2</v>
      </c>
      <c r="C14">
        <v>2.9999999999999997E-4</v>
      </c>
      <c r="D14">
        <v>4.41E-2</v>
      </c>
    </row>
    <row r="15" spans="1:7" x14ac:dyDescent="0.25">
      <c r="A15">
        <v>1940</v>
      </c>
      <c r="B15">
        <v>-0.1067</v>
      </c>
      <c r="C15">
        <v>4.0000000000000002E-4</v>
      </c>
      <c r="D15">
        <v>5.3999999999999999E-2</v>
      </c>
    </row>
    <row r="16" spans="1:7" x14ac:dyDescent="0.25">
      <c r="A16">
        <v>1941</v>
      </c>
      <c r="B16">
        <v>-0.12770000000000001</v>
      </c>
      <c r="C16">
        <v>2.0000000000000001E-4</v>
      </c>
      <c r="D16">
        <v>-2.0199999999999999E-2</v>
      </c>
    </row>
    <row r="17" spans="1:5" x14ac:dyDescent="0.25">
      <c r="A17">
        <v>1942</v>
      </c>
      <c r="B17">
        <v>0.19170000000000001</v>
      </c>
      <c r="C17">
        <v>3.3E-3</v>
      </c>
      <c r="D17">
        <v>2.29E-2</v>
      </c>
    </row>
    <row r="18" spans="1:5" x14ac:dyDescent="0.25">
      <c r="A18">
        <v>1943</v>
      </c>
      <c r="B18">
        <v>0.25059999999999999</v>
      </c>
      <c r="C18">
        <v>3.8E-3</v>
      </c>
      <c r="D18">
        <v>2.4899999999999999E-2</v>
      </c>
    </row>
    <row r="19" spans="1:5" x14ac:dyDescent="0.25">
      <c r="A19">
        <v>1944</v>
      </c>
      <c r="B19">
        <v>0.1903</v>
      </c>
      <c r="C19">
        <v>3.8E-3</v>
      </c>
      <c r="D19">
        <v>2.58E-2</v>
      </c>
    </row>
    <row r="20" spans="1:5" x14ac:dyDescent="0.25">
      <c r="A20">
        <v>1945</v>
      </c>
      <c r="B20">
        <v>0.35820000000000002</v>
      </c>
      <c r="C20">
        <v>3.8E-3</v>
      </c>
      <c r="D20">
        <v>3.7999999999999999E-2</v>
      </c>
      <c r="E20">
        <f>SUM(Sheet14[[#This Row],[Column1]:[Column4]])</f>
        <v>1945.3999999999999</v>
      </c>
    </row>
    <row r="21" spans="1:5" x14ac:dyDescent="0.25">
      <c r="A21">
        <v>1946</v>
      </c>
      <c r="B21">
        <v>-8.43E-2</v>
      </c>
      <c r="C21">
        <v>3.8E-3</v>
      </c>
      <c r="D21">
        <v>3.1300000000000001E-2</v>
      </c>
    </row>
    <row r="22" spans="1:5" x14ac:dyDescent="0.25">
      <c r="A22">
        <v>1947</v>
      </c>
      <c r="B22">
        <v>5.1999999999999998E-2</v>
      </c>
      <c r="C22">
        <v>3.8E-3</v>
      </c>
      <c r="D22">
        <v>9.1999999999999998E-3</v>
      </c>
    </row>
    <row r="23" spans="1:5" x14ac:dyDescent="0.25">
      <c r="A23">
        <v>1948</v>
      </c>
      <c r="B23">
        <v>5.7000000000000002E-2</v>
      </c>
      <c r="C23">
        <v>9.4999999999999998E-3</v>
      </c>
      <c r="D23">
        <v>1.95E-2</v>
      </c>
    </row>
    <row r="24" spans="1:5" x14ac:dyDescent="0.25">
      <c r="A24">
        <v>1949</v>
      </c>
      <c r="B24">
        <v>0.183</v>
      </c>
      <c r="C24">
        <v>1.1599999999999999E-2</v>
      </c>
      <c r="D24">
        <v>4.6600000000000003E-2</v>
      </c>
    </row>
    <row r="25" spans="1:5" x14ac:dyDescent="0.25">
      <c r="A25">
        <v>1950</v>
      </c>
      <c r="B25">
        <v>0.30809999999999998</v>
      </c>
      <c r="C25">
        <v>1.0999999999999999E-2</v>
      </c>
      <c r="D25">
        <v>4.3E-3</v>
      </c>
    </row>
    <row r="26" spans="1:5" x14ac:dyDescent="0.25">
      <c r="A26">
        <v>1951</v>
      </c>
      <c r="B26">
        <v>0.23680000000000001</v>
      </c>
      <c r="C26">
        <v>1.34E-2</v>
      </c>
      <c r="D26">
        <v>-3.0000000000000001E-3</v>
      </c>
    </row>
    <row r="27" spans="1:5" x14ac:dyDescent="0.25">
      <c r="A27">
        <v>1952</v>
      </c>
      <c r="B27">
        <v>0.18149999999999999</v>
      </c>
      <c r="C27">
        <v>1.7299999999999999E-2</v>
      </c>
      <c r="D27">
        <v>2.2700000000000001E-2</v>
      </c>
    </row>
    <row r="28" spans="1:5" x14ac:dyDescent="0.25">
      <c r="A28">
        <v>1953</v>
      </c>
      <c r="B28">
        <v>-1.21E-2</v>
      </c>
      <c r="C28">
        <v>2.0899999999999998E-2</v>
      </c>
      <c r="D28">
        <v>4.1399999999999999E-2</v>
      </c>
    </row>
    <row r="29" spans="1:5" x14ac:dyDescent="0.25">
      <c r="A29">
        <v>1954</v>
      </c>
      <c r="B29">
        <v>0.52559999999999996</v>
      </c>
      <c r="C29">
        <v>1.6E-2</v>
      </c>
      <c r="D29">
        <v>3.2899999999999999E-2</v>
      </c>
    </row>
    <row r="30" spans="1:5" x14ac:dyDescent="0.25">
      <c r="A30">
        <v>1955</v>
      </c>
      <c r="B30">
        <v>0.32600000000000001</v>
      </c>
      <c r="C30">
        <v>1.15E-2</v>
      </c>
      <c r="D30">
        <v>-1.34E-2</v>
      </c>
    </row>
    <row r="31" spans="1:5" x14ac:dyDescent="0.25">
      <c r="A31">
        <v>1956</v>
      </c>
      <c r="B31">
        <v>7.4399999999999994E-2</v>
      </c>
      <c r="C31">
        <v>2.5399999999999999E-2</v>
      </c>
      <c r="D31">
        <v>-2.2599999999999999E-2</v>
      </c>
    </row>
    <row r="32" spans="1:5" x14ac:dyDescent="0.25">
      <c r="A32">
        <v>1957</v>
      </c>
      <c r="B32">
        <v>-0.1046</v>
      </c>
      <c r="C32">
        <v>3.2099999999999997E-2</v>
      </c>
      <c r="D32">
        <v>6.8000000000000005E-2</v>
      </c>
    </row>
    <row r="33" spans="1:4" x14ac:dyDescent="0.25">
      <c r="A33">
        <v>1958</v>
      </c>
      <c r="B33">
        <v>0.43719999999999998</v>
      </c>
      <c r="C33">
        <v>3.04E-2</v>
      </c>
      <c r="D33">
        <v>-2.1000000000000001E-2</v>
      </c>
    </row>
    <row r="34" spans="1:4" x14ac:dyDescent="0.25">
      <c r="A34">
        <v>1959</v>
      </c>
      <c r="B34">
        <v>0.1206</v>
      </c>
      <c r="C34">
        <v>2.7699999999999999E-2</v>
      </c>
      <c r="D34">
        <v>-2.6499999999999999E-2</v>
      </c>
    </row>
    <row r="35" spans="1:4" x14ac:dyDescent="0.25">
      <c r="A35">
        <v>1960</v>
      </c>
      <c r="B35">
        <v>3.3999999999999998E-3</v>
      </c>
      <c r="C35">
        <v>4.4900000000000002E-2</v>
      </c>
      <c r="D35">
        <v>0.1164</v>
      </c>
    </row>
    <row r="36" spans="1:4" x14ac:dyDescent="0.25">
      <c r="A36">
        <v>1961</v>
      </c>
      <c r="B36">
        <v>0.26640000000000003</v>
      </c>
      <c r="C36">
        <v>2.2499999999999999E-2</v>
      </c>
      <c r="D36">
        <v>2.06E-2</v>
      </c>
    </row>
    <row r="37" spans="1:4" x14ac:dyDescent="0.25">
      <c r="A37">
        <v>1962</v>
      </c>
      <c r="B37">
        <v>-8.8099999999999998E-2</v>
      </c>
      <c r="C37">
        <v>2.5999999999999999E-2</v>
      </c>
      <c r="D37">
        <v>5.6899999999999999E-2</v>
      </c>
    </row>
    <row r="38" spans="1:4" x14ac:dyDescent="0.25">
      <c r="A38">
        <v>1963</v>
      </c>
      <c r="B38">
        <v>0.2261</v>
      </c>
      <c r="C38">
        <v>2.87E-2</v>
      </c>
      <c r="D38">
        <v>1.6799999999999999E-2</v>
      </c>
    </row>
    <row r="39" spans="1:4" x14ac:dyDescent="0.25">
      <c r="A39">
        <v>1964</v>
      </c>
      <c r="B39">
        <v>0.16420000000000001</v>
      </c>
      <c r="C39">
        <v>3.5200000000000002E-2</v>
      </c>
      <c r="D39">
        <v>3.73E-2</v>
      </c>
    </row>
    <row r="40" spans="1:4" x14ac:dyDescent="0.25">
      <c r="A40">
        <v>1965</v>
      </c>
      <c r="B40">
        <v>0.124</v>
      </c>
      <c r="C40">
        <v>3.8399999999999997E-2</v>
      </c>
      <c r="D40">
        <v>7.1999999999999998E-3</v>
      </c>
    </row>
    <row r="41" spans="1:4" x14ac:dyDescent="0.25">
      <c r="A41">
        <v>1966</v>
      </c>
      <c r="B41">
        <v>-9.9699999999999997E-2</v>
      </c>
      <c r="C41">
        <v>4.3799999999999999E-2</v>
      </c>
      <c r="D41">
        <v>2.9100000000000001E-2</v>
      </c>
    </row>
    <row r="42" spans="1:4" x14ac:dyDescent="0.25">
      <c r="A42">
        <v>1967</v>
      </c>
      <c r="B42">
        <v>0.23799999999999999</v>
      </c>
      <c r="C42">
        <v>4.9599999999999998E-2</v>
      </c>
      <c r="D42">
        <v>-1.5800000000000002E-2</v>
      </c>
    </row>
    <row r="43" spans="1:4" x14ac:dyDescent="0.25">
      <c r="A43">
        <v>1968</v>
      </c>
      <c r="B43">
        <v>0.1081</v>
      </c>
      <c r="C43">
        <v>4.9700000000000001E-2</v>
      </c>
      <c r="D43">
        <v>3.27E-2</v>
      </c>
    </row>
    <row r="44" spans="1:4" x14ac:dyDescent="0.25">
      <c r="A44">
        <v>1969</v>
      </c>
      <c r="B44">
        <v>-8.2400000000000001E-2</v>
      </c>
      <c r="C44">
        <v>5.96E-2</v>
      </c>
      <c r="D44">
        <v>-5.0099999999999999E-2</v>
      </c>
    </row>
    <row r="45" spans="1:4" x14ac:dyDescent="0.25">
      <c r="A45">
        <v>1970</v>
      </c>
      <c r="B45">
        <v>3.56E-2</v>
      </c>
      <c r="C45">
        <v>7.8200000000000006E-2</v>
      </c>
      <c r="D45">
        <v>0.16750000000000001</v>
      </c>
    </row>
    <row r="46" spans="1:4" x14ac:dyDescent="0.25">
      <c r="A46">
        <v>1971</v>
      </c>
      <c r="B46">
        <v>0.14219999999999999</v>
      </c>
      <c r="C46">
        <v>4.87E-2</v>
      </c>
      <c r="D46">
        <v>9.7900000000000001E-2</v>
      </c>
    </row>
    <row r="47" spans="1:4" x14ac:dyDescent="0.25">
      <c r="A47">
        <v>1972</v>
      </c>
      <c r="B47">
        <v>0.18759999999999999</v>
      </c>
      <c r="C47">
        <v>4.0099999999999997E-2</v>
      </c>
      <c r="D47">
        <v>2.8199999999999999E-2</v>
      </c>
    </row>
    <row r="48" spans="1:4" x14ac:dyDescent="0.25">
      <c r="A48">
        <v>1973</v>
      </c>
      <c r="B48">
        <v>-0.1431</v>
      </c>
      <c r="C48">
        <v>5.0700000000000002E-2</v>
      </c>
      <c r="D48">
        <v>3.6600000000000001E-2</v>
      </c>
    </row>
    <row r="49" spans="1:4" x14ac:dyDescent="0.25">
      <c r="A49">
        <v>1974</v>
      </c>
      <c r="B49">
        <v>-0.25900000000000001</v>
      </c>
      <c r="C49">
        <v>7.4499999999999997E-2</v>
      </c>
      <c r="D49">
        <v>1.9900000000000001E-2</v>
      </c>
    </row>
    <row r="50" spans="1:4" x14ac:dyDescent="0.25">
      <c r="A50">
        <v>1975</v>
      </c>
      <c r="B50">
        <v>0.37</v>
      </c>
      <c r="C50">
        <v>7.1499999999999994E-2</v>
      </c>
      <c r="D50">
        <v>3.61E-2</v>
      </c>
    </row>
    <row r="51" spans="1:4" x14ac:dyDescent="0.25">
      <c r="A51">
        <v>1976</v>
      </c>
      <c r="B51">
        <v>0.23830000000000001</v>
      </c>
      <c r="C51">
        <v>5.4399999999999997E-2</v>
      </c>
      <c r="D51">
        <v>0.1598</v>
      </c>
    </row>
    <row r="52" spans="1:4" x14ac:dyDescent="0.25">
      <c r="A52">
        <v>1977</v>
      </c>
      <c r="B52">
        <v>-6.9800000000000001E-2</v>
      </c>
      <c r="C52">
        <v>4.3499999999999997E-2</v>
      </c>
      <c r="D52">
        <v>1.29E-2</v>
      </c>
    </row>
    <row r="53" spans="1:4" x14ac:dyDescent="0.25">
      <c r="A53">
        <v>1978</v>
      </c>
      <c r="B53">
        <v>6.5100000000000005E-2</v>
      </c>
      <c r="C53">
        <v>6.0699999999999997E-2</v>
      </c>
      <c r="D53">
        <v>-7.7999999999999996E-3</v>
      </c>
    </row>
    <row r="54" spans="1:4" x14ac:dyDescent="0.25">
      <c r="A54">
        <v>1979</v>
      </c>
      <c r="B54">
        <v>0.1852</v>
      </c>
      <c r="C54">
        <v>9.0800000000000006E-2</v>
      </c>
      <c r="D54">
        <v>6.7000000000000002E-3</v>
      </c>
    </row>
    <row r="55" spans="1:4" x14ac:dyDescent="0.25">
      <c r="A55">
        <v>1980</v>
      </c>
      <c r="B55">
        <v>0.31740000000000002</v>
      </c>
      <c r="C55">
        <v>0.12039999999999999</v>
      </c>
      <c r="D55">
        <v>-2.9899999999999999E-2</v>
      </c>
    </row>
    <row r="56" spans="1:4" x14ac:dyDescent="0.25">
      <c r="A56">
        <v>1981</v>
      </c>
      <c r="B56">
        <v>-4.7E-2</v>
      </c>
      <c r="C56">
        <v>0.15490000000000001</v>
      </c>
      <c r="D56">
        <v>8.2000000000000003E-2</v>
      </c>
    </row>
    <row r="57" spans="1:4" x14ac:dyDescent="0.25">
      <c r="A57">
        <v>1982</v>
      </c>
      <c r="B57">
        <v>0.20419999999999999</v>
      </c>
      <c r="C57">
        <v>0.1085</v>
      </c>
      <c r="D57">
        <v>0.3281</v>
      </c>
    </row>
    <row r="58" spans="1:4" x14ac:dyDescent="0.25">
      <c r="A58">
        <v>1983</v>
      </c>
      <c r="B58">
        <v>0.22339999999999999</v>
      </c>
      <c r="C58">
        <v>7.9399999999999998E-2</v>
      </c>
      <c r="D58">
        <v>3.2000000000000001E-2</v>
      </c>
    </row>
    <row r="59" spans="1:4" x14ac:dyDescent="0.25">
      <c r="A59">
        <v>1984</v>
      </c>
      <c r="B59">
        <v>6.1499999999999999E-2</v>
      </c>
      <c r="C59">
        <v>0.09</v>
      </c>
      <c r="D59">
        <v>0.13730000000000001</v>
      </c>
    </row>
    <row r="60" spans="1:4" x14ac:dyDescent="0.25">
      <c r="A60">
        <v>1985</v>
      </c>
      <c r="B60">
        <v>0.31240000000000001</v>
      </c>
      <c r="C60">
        <v>8.0600000000000005E-2</v>
      </c>
      <c r="D60">
        <v>0.2571</v>
      </c>
    </row>
    <row r="61" spans="1:4" x14ac:dyDescent="0.25">
      <c r="A61">
        <v>1986</v>
      </c>
      <c r="B61">
        <v>0.18490000000000001</v>
      </c>
      <c r="C61">
        <v>7.0999999999999994E-2</v>
      </c>
      <c r="D61">
        <v>0.24279999999999999</v>
      </c>
    </row>
    <row r="62" spans="1:4" x14ac:dyDescent="0.25">
      <c r="A62">
        <v>1987</v>
      </c>
      <c r="B62">
        <v>5.8099999999999999E-2</v>
      </c>
      <c r="C62">
        <v>5.5300000000000002E-2</v>
      </c>
      <c r="D62">
        <v>-4.9599999999999998E-2</v>
      </c>
    </row>
    <row r="63" spans="1:4" x14ac:dyDescent="0.25">
      <c r="A63">
        <v>1988</v>
      </c>
      <c r="B63">
        <v>0.16539999999999999</v>
      </c>
      <c r="C63">
        <v>5.7700000000000001E-2</v>
      </c>
      <c r="D63">
        <v>8.2199999999999995E-2</v>
      </c>
    </row>
    <row r="64" spans="1:4" x14ac:dyDescent="0.25">
      <c r="A64">
        <v>1989</v>
      </c>
      <c r="B64">
        <v>0.31480000000000002</v>
      </c>
      <c r="C64">
        <v>8.0699999999999994E-2</v>
      </c>
      <c r="D64">
        <v>0.1769</v>
      </c>
    </row>
    <row r="65" spans="1:4" x14ac:dyDescent="0.25">
      <c r="A65">
        <v>1990</v>
      </c>
      <c r="B65">
        <v>-3.0599999999999999E-2</v>
      </c>
      <c r="C65">
        <v>7.6300000000000007E-2</v>
      </c>
      <c r="D65">
        <v>6.2399999999999997E-2</v>
      </c>
    </row>
    <row r="66" spans="1:4" x14ac:dyDescent="0.25">
      <c r="A66">
        <v>1991</v>
      </c>
      <c r="B66">
        <v>0.30230000000000001</v>
      </c>
      <c r="C66">
        <v>6.7400000000000002E-2</v>
      </c>
      <c r="D66">
        <v>0.15</v>
      </c>
    </row>
    <row r="67" spans="1:4" x14ac:dyDescent="0.25">
      <c r="A67">
        <v>1992</v>
      </c>
      <c r="B67">
        <v>7.4899999999999994E-2</v>
      </c>
      <c r="C67">
        <v>4.07E-2</v>
      </c>
      <c r="D67">
        <v>9.3600000000000003E-2</v>
      </c>
    </row>
    <row r="68" spans="1:4" x14ac:dyDescent="0.25">
      <c r="A68">
        <v>1993</v>
      </c>
      <c r="B68">
        <v>9.9699999999999997E-2</v>
      </c>
      <c r="C68">
        <v>3.2199999999999999E-2</v>
      </c>
      <c r="D68">
        <v>0.1421</v>
      </c>
    </row>
    <row r="69" spans="1:4" x14ac:dyDescent="0.25">
      <c r="A69">
        <v>1994</v>
      </c>
      <c r="B69">
        <v>1.3299999999999999E-2</v>
      </c>
      <c r="C69">
        <v>3.0599999999999999E-2</v>
      </c>
      <c r="D69">
        <v>-8.0399999999999999E-2</v>
      </c>
    </row>
    <row r="70" spans="1:4" x14ac:dyDescent="0.25">
      <c r="A70">
        <v>1995</v>
      </c>
      <c r="B70">
        <v>0.372</v>
      </c>
      <c r="C70">
        <v>5.6000000000000001E-2</v>
      </c>
      <c r="D70">
        <v>0.23480000000000001</v>
      </c>
    </row>
    <row r="71" spans="1:4" x14ac:dyDescent="0.25">
      <c r="A71">
        <v>1996</v>
      </c>
      <c r="B71">
        <v>0.2382</v>
      </c>
      <c r="C71">
        <v>5.1400000000000001E-2</v>
      </c>
      <c r="D71">
        <v>1.43E-2</v>
      </c>
    </row>
    <row r="72" spans="1:4" x14ac:dyDescent="0.25">
      <c r="A72">
        <v>1997</v>
      </c>
      <c r="B72">
        <v>0.31859999999999999</v>
      </c>
      <c r="C72">
        <v>4.9099999999999998E-2</v>
      </c>
      <c r="D72">
        <v>9.9400000000000002E-2</v>
      </c>
    </row>
    <row r="73" spans="1:4" x14ac:dyDescent="0.25">
      <c r="A73">
        <v>1998</v>
      </c>
      <c r="B73">
        <v>0.28339999999999999</v>
      </c>
      <c r="C73">
        <v>5.16E-2</v>
      </c>
      <c r="D73">
        <v>0.1492</v>
      </c>
    </row>
    <row r="74" spans="1:4" x14ac:dyDescent="0.25">
      <c r="A74">
        <v>1999</v>
      </c>
      <c r="B74">
        <v>0.2089</v>
      </c>
      <c r="C74">
        <v>4.3900000000000002E-2</v>
      </c>
      <c r="D74">
        <v>-8.2500000000000004E-2</v>
      </c>
    </row>
    <row r="75" spans="1:4" x14ac:dyDescent="0.25">
      <c r="A75">
        <v>2000</v>
      </c>
      <c r="B75">
        <v>-9.0300000000000005E-2</v>
      </c>
      <c r="C75">
        <v>5.3699999999999998E-2</v>
      </c>
      <c r="D75">
        <v>0.1666</v>
      </c>
    </row>
    <row r="76" spans="1:4" x14ac:dyDescent="0.25">
      <c r="A76">
        <v>2001</v>
      </c>
      <c r="B76">
        <v>-0.11849999999999999</v>
      </c>
      <c r="C76">
        <v>5.7299999999999997E-2</v>
      </c>
      <c r="D76">
        <v>5.57E-2</v>
      </c>
    </row>
    <row r="77" spans="1:4" x14ac:dyDescent="0.25">
      <c r="A77">
        <v>2002</v>
      </c>
      <c r="B77">
        <v>-0.221</v>
      </c>
      <c r="C77">
        <v>0.1784</v>
      </c>
      <c r="D77">
        <v>3.8300000000000001E-2</v>
      </c>
    </row>
    <row r="78" spans="1:4" x14ac:dyDescent="0.25">
      <c r="A78">
        <v>2003</v>
      </c>
      <c r="B78">
        <v>0.2868</v>
      </c>
      <c r="C78">
        <v>1.4500000000000001E-2</v>
      </c>
      <c r="D78">
        <v>1.6500000000000001E-2</v>
      </c>
    </row>
    <row r="79" spans="1:4" x14ac:dyDescent="0.25">
      <c r="A79">
        <v>2004</v>
      </c>
      <c r="B79">
        <v>0.10879999999999999</v>
      </c>
      <c r="C79">
        <v>8.5099999999999995E-2</v>
      </c>
      <c r="D79">
        <v>1.0200000000000001E-2</v>
      </c>
    </row>
    <row r="80" spans="1:4" x14ac:dyDescent="0.25">
      <c r="A80">
        <v>2005</v>
      </c>
      <c r="B80">
        <v>4.9099999999999998E-2</v>
      </c>
      <c r="C80">
        <v>7.8100000000000003E-2</v>
      </c>
      <c r="D80">
        <v>1.2E-2</v>
      </c>
    </row>
    <row r="81" spans="1:4" x14ac:dyDescent="0.25">
      <c r="A81">
        <v>2006</v>
      </c>
      <c r="B81">
        <v>0.15790000000000001</v>
      </c>
      <c r="C81">
        <v>1.1900000000000001E-2</v>
      </c>
      <c r="D81">
        <v>2.98E-2</v>
      </c>
    </row>
    <row r="82" spans="1:4" x14ac:dyDescent="0.25">
      <c r="A82">
        <v>2007</v>
      </c>
      <c r="B82">
        <v>5.4899999999999997E-2</v>
      </c>
      <c r="C82">
        <v>9.8799999999999999E-2</v>
      </c>
      <c r="D82">
        <v>4.6600000000000003E-2</v>
      </c>
    </row>
    <row r="83" spans="1:4" x14ac:dyDescent="0.25">
      <c r="A83">
        <v>2008</v>
      </c>
      <c r="B83">
        <v>-0.37</v>
      </c>
      <c r="C83">
        <v>0.25869999999999999</v>
      </c>
      <c r="D83">
        <v>1.6E-2</v>
      </c>
    </row>
    <row r="84" spans="1:4" x14ac:dyDescent="0.25">
      <c r="A84">
        <v>2009</v>
      </c>
      <c r="B84">
        <v>0.2646</v>
      </c>
      <c r="C84">
        <v>-0.14899999999999999</v>
      </c>
      <c r="D84">
        <v>1E-3</v>
      </c>
    </row>
    <row r="85" spans="1:4" x14ac:dyDescent="0.25">
      <c r="B85" t="s">
        <v>11</v>
      </c>
      <c r="C85" t="s">
        <v>12</v>
      </c>
      <c r="D85" t="s">
        <v>13</v>
      </c>
    </row>
    <row r="86" spans="1:4" x14ac:dyDescent="0.25">
      <c r="A86" t="s">
        <v>14</v>
      </c>
    </row>
  </sheetData>
  <conditionalFormatting sqref="B3:B34">
    <cfRule type="colorScale" priority="2">
      <colorScale>
        <cfvo type="min"/>
        <cfvo type="max"/>
        <color rgb="FFFF7128"/>
        <color rgb="FFFFEF9C"/>
      </colorScale>
    </cfRule>
  </conditionalFormatting>
  <conditionalFormatting sqref="B36:B38">
    <cfRule type="colorScale" priority="1">
      <colorScale>
        <cfvo type="percent" val="0"/>
        <cfvo type="percentile" val="50"/>
        <cfvo type="max"/>
        <color rgb="FFF8696B"/>
        <color rgb="FFFFEB84"/>
        <color rgb="FF63BE7B"/>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A249-8427-4791-9687-3175C6ED884E}">
  <dimension ref="D2:U58"/>
  <sheetViews>
    <sheetView workbookViewId="0">
      <selection activeCell="L28" sqref="L28"/>
    </sheetView>
  </sheetViews>
  <sheetFormatPr defaultRowHeight="15" x14ac:dyDescent="0.25"/>
  <cols>
    <col min="5" max="5" width="20.42578125" customWidth="1"/>
    <col min="13" max="13" width="11.7109375" customWidth="1"/>
  </cols>
  <sheetData>
    <row r="2" spans="4:21" ht="15.75" thickBot="1" x14ac:dyDescent="0.3"/>
    <row r="3" spans="4:21" ht="15.75" thickBot="1" x14ac:dyDescent="0.3">
      <c r="K3" s="6"/>
      <c r="L3" s="7"/>
      <c r="M3" s="7"/>
      <c r="N3" s="8"/>
    </row>
    <row r="4" spans="4:21" ht="30" x14ac:dyDescent="0.25">
      <c r="E4" s="1" t="s">
        <v>15</v>
      </c>
      <c r="F4" s="1" t="s">
        <v>16</v>
      </c>
      <c r="G4" s="1" t="s">
        <v>17</v>
      </c>
      <c r="K4" s="9"/>
      <c r="L4" s="1" t="s">
        <v>44</v>
      </c>
      <c r="M4" s="1" t="s">
        <v>16</v>
      </c>
      <c r="N4" s="14" t="s">
        <v>17</v>
      </c>
      <c r="R4" s="4"/>
      <c r="S4" s="4" t="s">
        <v>25</v>
      </c>
      <c r="T4" s="4" t="s">
        <v>26</v>
      </c>
      <c r="U4" s="4" t="s">
        <v>27</v>
      </c>
    </row>
    <row r="5" spans="4:21" x14ac:dyDescent="0.25">
      <c r="E5" s="2">
        <v>78</v>
      </c>
      <c r="F5" s="2">
        <v>85</v>
      </c>
      <c r="G5" s="2">
        <v>90</v>
      </c>
      <c r="K5" s="9"/>
      <c r="L5" s="2" t="s">
        <v>45</v>
      </c>
      <c r="M5" s="2">
        <v>85</v>
      </c>
      <c r="N5" s="15">
        <v>90</v>
      </c>
      <c r="R5" t="s">
        <v>25</v>
      </c>
      <c r="S5">
        <v>1</v>
      </c>
    </row>
    <row r="6" spans="4:21" x14ac:dyDescent="0.25">
      <c r="E6" s="2">
        <v>82</v>
      </c>
      <c r="F6" s="2">
        <v>88</v>
      </c>
      <c r="G6" s="2">
        <v>92</v>
      </c>
      <c r="K6" s="9"/>
      <c r="L6" s="2" t="s">
        <v>46</v>
      </c>
      <c r="M6" s="2">
        <v>87</v>
      </c>
      <c r="N6" s="15">
        <v>94</v>
      </c>
      <c r="R6" t="s">
        <v>26</v>
      </c>
      <c r="S6">
        <v>0.97735555485044168</v>
      </c>
      <c r="T6">
        <v>1</v>
      </c>
    </row>
    <row r="7" spans="4:21" ht="15.75" thickBot="1" x14ac:dyDescent="0.3">
      <c r="E7" s="2">
        <v>75</v>
      </c>
      <c r="F7" s="2">
        <v>84</v>
      </c>
      <c r="G7" s="2">
        <v>89</v>
      </c>
      <c r="K7" s="9"/>
      <c r="N7" s="10"/>
      <c r="R7" s="3" t="s">
        <v>27</v>
      </c>
      <c r="S7" s="3">
        <v>0.76321225140972149</v>
      </c>
      <c r="T7" s="3">
        <v>0.82199493652678635</v>
      </c>
      <c r="U7" s="3">
        <v>1</v>
      </c>
    </row>
    <row r="8" spans="4:21" ht="15.75" thickBot="1" x14ac:dyDescent="0.3">
      <c r="E8" s="2">
        <v>80</v>
      </c>
      <c r="F8" s="2">
        <v>87</v>
      </c>
      <c r="G8" s="2">
        <v>94</v>
      </c>
      <c r="K8" s="11"/>
      <c r="L8" s="3"/>
      <c r="M8" s="3"/>
      <c r="N8" s="12"/>
    </row>
    <row r="9" spans="4:21" ht="15.75" thickBot="1" x14ac:dyDescent="0.3">
      <c r="E9" s="2">
        <v>79</v>
      </c>
      <c r="F9" s="2">
        <v>86</v>
      </c>
      <c r="G9" s="2">
        <v>91</v>
      </c>
    </row>
    <row r="10" spans="4:21" x14ac:dyDescent="0.25">
      <c r="D10" s="6"/>
      <c r="E10" s="7"/>
      <c r="F10" s="7"/>
      <c r="G10" s="7"/>
      <c r="H10" s="7"/>
      <c r="I10" s="7"/>
      <c r="J10" s="7"/>
      <c r="K10" s="8"/>
    </row>
    <row r="11" spans="4:21" ht="15.75" thickBot="1" x14ac:dyDescent="0.3">
      <c r="D11" s="9"/>
      <c r="E11" t="s">
        <v>18</v>
      </c>
      <c r="K11" s="10"/>
    </row>
    <row r="12" spans="4:21" x14ac:dyDescent="0.25">
      <c r="D12" s="9"/>
      <c r="K12" s="10"/>
      <c r="M12" s="6" t="s">
        <v>39</v>
      </c>
      <c r="N12" s="7"/>
      <c r="O12" s="7"/>
      <c r="P12" s="7"/>
      <c r="Q12" s="8"/>
    </row>
    <row r="13" spans="4:21" ht="15.75" thickBot="1" x14ac:dyDescent="0.3">
      <c r="D13" s="9"/>
      <c r="E13" t="s">
        <v>19</v>
      </c>
      <c r="K13" s="10"/>
      <c r="M13" s="9"/>
      <c r="Q13" s="10"/>
    </row>
    <row r="14" spans="4:21" x14ac:dyDescent="0.25">
      <c r="D14" s="9"/>
      <c r="E14" s="4" t="s">
        <v>20</v>
      </c>
      <c r="F14" s="4" t="s">
        <v>21</v>
      </c>
      <c r="G14" s="4" t="s">
        <v>22</v>
      </c>
      <c r="H14" s="4" t="s">
        <v>23</v>
      </c>
      <c r="I14" s="4" t="s">
        <v>24</v>
      </c>
      <c r="K14" s="10"/>
      <c r="M14" s="9" t="s">
        <v>19</v>
      </c>
      <c r="N14" t="s">
        <v>16</v>
      </c>
      <c r="O14" t="s">
        <v>17</v>
      </c>
      <c r="P14" t="s">
        <v>38</v>
      </c>
      <c r="Q14" s="10"/>
    </row>
    <row r="15" spans="4:21" ht="15.75" thickBot="1" x14ac:dyDescent="0.3">
      <c r="D15" s="9"/>
      <c r="E15" t="s">
        <v>25</v>
      </c>
      <c r="F15">
        <v>5</v>
      </c>
      <c r="G15">
        <v>394</v>
      </c>
      <c r="H15">
        <v>78.8</v>
      </c>
      <c r="I15">
        <v>6.7000000000000011</v>
      </c>
      <c r="K15" s="10"/>
      <c r="M15" s="16" t="s">
        <v>45</v>
      </c>
      <c r="N15" s="5"/>
      <c r="O15" s="5"/>
      <c r="P15" s="5"/>
      <c r="Q15" s="10"/>
    </row>
    <row r="16" spans="4:21" x14ac:dyDescent="0.25">
      <c r="D16" s="9"/>
      <c r="E16" t="s">
        <v>26</v>
      </c>
      <c r="F16">
        <v>5</v>
      </c>
      <c r="G16">
        <v>430</v>
      </c>
      <c r="H16">
        <v>86</v>
      </c>
      <c r="I16">
        <v>2.5</v>
      </c>
      <c r="K16" s="10"/>
      <c r="M16" s="9" t="s">
        <v>21</v>
      </c>
      <c r="N16">
        <v>2</v>
      </c>
      <c r="O16">
        <v>2</v>
      </c>
      <c r="P16">
        <v>4</v>
      </c>
      <c r="Q16" s="10"/>
    </row>
    <row r="17" spans="4:20" ht="15.75" thickBot="1" x14ac:dyDescent="0.3">
      <c r="D17" s="9"/>
      <c r="E17" s="3" t="s">
        <v>27</v>
      </c>
      <c r="F17" s="3">
        <v>5</v>
      </c>
      <c r="G17" s="3">
        <v>456</v>
      </c>
      <c r="H17" s="3">
        <v>91.2</v>
      </c>
      <c r="I17" s="3">
        <v>3.6999999999999997</v>
      </c>
      <c r="K17" s="10"/>
      <c r="M17" s="9" t="s">
        <v>22</v>
      </c>
      <c r="N17">
        <v>172</v>
      </c>
      <c r="O17">
        <v>184</v>
      </c>
      <c r="P17">
        <v>356</v>
      </c>
      <c r="Q17" s="10"/>
    </row>
    <row r="18" spans="4:20" x14ac:dyDescent="0.25">
      <c r="D18" s="9"/>
      <c r="K18" s="10"/>
      <c r="M18" s="9" t="s">
        <v>23</v>
      </c>
      <c r="N18">
        <v>86</v>
      </c>
      <c r="O18">
        <v>92</v>
      </c>
      <c r="P18">
        <v>89</v>
      </c>
      <c r="Q18" s="10"/>
    </row>
    <row r="19" spans="4:20" ht="15.75" thickBot="1" x14ac:dyDescent="0.3">
      <c r="D19" s="11"/>
      <c r="E19" s="3"/>
      <c r="F19" s="3"/>
      <c r="G19" s="3"/>
      <c r="H19" s="3"/>
      <c r="I19" s="3"/>
      <c r="J19" s="3"/>
      <c r="K19" s="12"/>
      <c r="M19" s="9" t="s">
        <v>24</v>
      </c>
      <c r="N19">
        <v>2</v>
      </c>
      <c r="O19">
        <v>8</v>
      </c>
      <c r="P19">
        <v>15.333333333333334</v>
      </c>
      <c r="Q19" s="10"/>
    </row>
    <row r="20" spans="4:20" ht="15.75" thickBot="1" x14ac:dyDescent="0.3">
      <c r="D20" s="6"/>
      <c r="E20" s="7" t="s">
        <v>28</v>
      </c>
      <c r="F20" s="7"/>
      <c r="G20" s="7"/>
      <c r="H20" s="7"/>
      <c r="I20" s="7"/>
      <c r="J20" s="7"/>
      <c r="K20" s="8"/>
      <c r="M20" s="9"/>
      <c r="Q20" s="10"/>
    </row>
    <row r="21" spans="4:20" ht="15.75" thickBot="1" x14ac:dyDescent="0.3">
      <c r="D21" s="9"/>
      <c r="E21" s="4" t="s">
        <v>29</v>
      </c>
      <c r="F21" s="4" t="s">
        <v>30</v>
      </c>
      <c r="G21" s="4" t="s">
        <v>31</v>
      </c>
      <c r="H21" s="4" t="s">
        <v>32</v>
      </c>
      <c r="I21" s="4" t="s">
        <v>33</v>
      </c>
      <c r="J21" s="4" t="s">
        <v>34</v>
      </c>
      <c r="K21" s="13" t="s">
        <v>35</v>
      </c>
      <c r="M21" s="16" t="s">
        <v>38</v>
      </c>
      <c r="N21" s="5"/>
      <c r="O21" s="5"/>
      <c r="Q21" s="10"/>
    </row>
    <row r="22" spans="4:20" x14ac:dyDescent="0.25">
      <c r="D22" s="9"/>
      <c r="E22" t="s">
        <v>36</v>
      </c>
      <c r="F22">
        <v>387.73333333333329</v>
      </c>
      <c r="G22">
        <v>2</v>
      </c>
      <c r="H22">
        <v>193.86666666666665</v>
      </c>
      <c r="I22">
        <v>45.085271317829452</v>
      </c>
      <c r="J22">
        <v>2.625023988618908E-6</v>
      </c>
      <c r="K22" s="10">
        <v>3.8852938346523942</v>
      </c>
      <c r="M22" s="9" t="s">
        <v>21</v>
      </c>
      <c r="N22">
        <v>2</v>
      </c>
      <c r="O22">
        <v>2</v>
      </c>
      <c r="Q22" s="10"/>
    </row>
    <row r="23" spans="4:20" x14ac:dyDescent="0.25">
      <c r="D23" s="9"/>
      <c r="E23" t="s">
        <v>37</v>
      </c>
      <c r="F23">
        <v>51.6</v>
      </c>
      <c r="G23">
        <v>12</v>
      </c>
      <c r="H23">
        <v>4.3</v>
      </c>
      <c r="K23" s="10"/>
      <c r="M23" s="9" t="s">
        <v>22</v>
      </c>
      <c r="N23">
        <v>172</v>
      </c>
      <c r="O23">
        <v>184</v>
      </c>
      <c r="Q23" s="10"/>
    </row>
    <row r="24" spans="4:20" x14ac:dyDescent="0.25">
      <c r="D24" s="9"/>
      <c r="K24" s="10"/>
      <c r="M24" s="9" t="s">
        <v>23</v>
      </c>
      <c r="N24">
        <v>86</v>
      </c>
      <c r="O24">
        <v>92</v>
      </c>
      <c r="Q24" s="10"/>
    </row>
    <row r="25" spans="4:20" ht="15.75" thickBot="1" x14ac:dyDescent="0.3">
      <c r="D25" s="9"/>
      <c r="E25" s="3" t="s">
        <v>38</v>
      </c>
      <c r="F25" s="3">
        <v>439.33333333333331</v>
      </c>
      <c r="G25" s="3">
        <v>14</v>
      </c>
      <c r="H25" s="3"/>
      <c r="I25" s="3"/>
      <c r="J25" s="3"/>
      <c r="K25" s="12"/>
      <c r="M25" s="9" t="s">
        <v>24</v>
      </c>
      <c r="N25">
        <v>2</v>
      </c>
      <c r="O25">
        <v>8</v>
      </c>
      <c r="Q25" s="10"/>
    </row>
    <row r="26" spans="4:20" ht="15.75" thickBot="1" x14ac:dyDescent="0.3">
      <c r="D26" s="9"/>
      <c r="K26" s="10"/>
      <c r="M26" s="11"/>
      <c r="N26" s="3"/>
      <c r="O26" s="3"/>
      <c r="P26" s="3"/>
      <c r="Q26" s="12"/>
    </row>
    <row r="27" spans="4:20" ht="15.75" thickBot="1" x14ac:dyDescent="0.3">
      <c r="D27" s="9"/>
      <c r="E27" t="s">
        <v>39</v>
      </c>
      <c r="K27" s="10"/>
    </row>
    <row r="28" spans="4:20" ht="15.75" thickBot="1" x14ac:dyDescent="0.3">
      <c r="D28" s="9"/>
      <c r="K28" s="10"/>
      <c r="L28" s="6"/>
      <c r="M28" s="7" t="s">
        <v>28</v>
      </c>
      <c r="N28" s="7"/>
      <c r="O28" s="7"/>
      <c r="P28" s="7"/>
      <c r="Q28" s="7"/>
      <c r="R28" s="7"/>
      <c r="S28" s="7"/>
      <c r="T28" s="8"/>
    </row>
    <row r="29" spans="4:20" x14ac:dyDescent="0.25">
      <c r="D29" s="9"/>
      <c r="E29" t="s">
        <v>19</v>
      </c>
      <c r="F29" t="s">
        <v>16</v>
      </c>
      <c r="G29" t="s">
        <v>17</v>
      </c>
      <c r="H29" t="s">
        <v>38</v>
      </c>
      <c r="K29" s="10"/>
      <c r="L29" s="9"/>
      <c r="M29" s="4" t="s">
        <v>29</v>
      </c>
      <c r="N29" s="4" t="s">
        <v>30</v>
      </c>
      <c r="O29" s="4" t="s">
        <v>31</v>
      </c>
      <c r="P29" s="4" t="s">
        <v>32</v>
      </c>
      <c r="Q29" s="4" t="s">
        <v>33</v>
      </c>
      <c r="R29" s="4" t="s">
        <v>34</v>
      </c>
      <c r="S29" s="4" t="s">
        <v>35</v>
      </c>
      <c r="T29" s="10"/>
    </row>
    <row r="30" spans="4:20" ht="15.75" thickBot="1" x14ac:dyDescent="0.3">
      <c r="D30" s="9"/>
      <c r="E30" s="5">
        <v>78</v>
      </c>
      <c r="F30" s="5"/>
      <c r="G30" s="5"/>
      <c r="H30" s="5"/>
      <c r="K30" s="10"/>
      <c r="L30" s="9"/>
      <c r="M30" t="s">
        <v>40</v>
      </c>
      <c r="N30">
        <v>0</v>
      </c>
      <c r="O30">
        <v>0</v>
      </c>
      <c r="P30">
        <v>65535</v>
      </c>
      <c r="Q30">
        <v>65535</v>
      </c>
      <c r="R30" t="e">
        <v>#NUM!</v>
      </c>
      <c r="S30" t="e">
        <v>#NUM!</v>
      </c>
      <c r="T30" s="10"/>
    </row>
    <row r="31" spans="4:20" x14ac:dyDescent="0.25">
      <c r="D31" s="9"/>
      <c r="E31" t="s">
        <v>21</v>
      </c>
      <c r="F31">
        <v>5</v>
      </c>
      <c r="G31">
        <v>5</v>
      </c>
      <c r="H31">
        <v>10</v>
      </c>
      <c r="K31" s="10"/>
      <c r="L31" s="9"/>
      <c r="M31" t="s">
        <v>41</v>
      </c>
      <c r="N31">
        <v>36</v>
      </c>
      <c r="O31">
        <v>1</v>
      </c>
      <c r="P31">
        <v>36</v>
      </c>
      <c r="Q31">
        <v>7.2</v>
      </c>
      <c r="R31">
        <v>0.1153482630706173</v>
      </c>
      <c r="S31">
        <v>18.512820512820511</v>
      </c>
      <c r="T31" s="10"/>
    </row>
    <row r="32" spans="4:20" x14ac:dyDescent="0.25">
      <c r="D32" s="9"/>
      <c r="E32" t="s">
        <v>22</v>
      </c>
      <c r="F32">
        <v>430</v>
      </c>
      <c r="G32">
        <v>456</v>
      </c>
      <c r="H32">
        <v>886</v>
      </c>
      <c r="K32" s="10"/>
      <c r="L32" s="9"/>
      <c r="M32" t="s">
        <v>42</v>
      </c>
      <c r="N32">
        <v>0</v>
      </c>
      <c r="O32">
        <v>0</v>
      </c>
      <c r="P32">
        <v>65535</v>
      </c>
      <c r="Q32">
        <v>65535</v>
      </c>
      <c r="R32" t="e">
        <v>#NUM!</v>
      </c>
      <c r="S32" t="e">
        <v>#NUM!</v>
      </c>
      <c r="T32" s="10"/>
    </row>
    <row r="33" spans="4:20" x14ac:dyDescent="0.25">
      <c r="D33" s="9"/>
      <c r="E33" t="s">
        <v>23</v>
      </c>
      <c r="F33">
        <v>86</v>
      </c>
      <c r="G33">
        <v>91.2</v>
      </c>
      <c r="H33">
        <v>88.6</v>
      </c>
      <c r="K33" s="10"/>
      <c r="L33" s="9"/>
      <c r="M33" t="s">
        <v>43</v>
      </c>
      <c r="N33">
        <v>10</v>
      </c>
      <c r="O33">
        <v>2</v>
      </c>
      <c r="P33">
        <v>5</v>
      </c>
      <c r="T33" s="10"/>
    </row>
    <row r="34" spans="4:20" x14ac:dyDescent="0.25">
      <c r="D34" s="9"/>
      <c r="E34" t="s">
        <v>24</v>
      </c>
      <c r="F34">
        <v>2.5</v>
      </c>
      <c r="G34">
        <v>3.6999999999999997</v>
      </c>
      <c r="H34">
        <v>10.266666666666667</v>
      </c>
      <c r="K34" s="10"/>
      <c r="L34" s="9"/>
      <c r="T34" s="10"/>
    </row>
    <row r="35" spans="4:20" ht="15.75" thickBot="1" x14ac:dyDescent="0.3">
      <c r="D35" s="9"/>
      <c r="K35" s="10"/>
      <c r="L35" s="9"/>
      <c r="M35" s="3" t="s">
        <v>38</v>
      </c>
      <c r="N35" s="3">
        <v>46</v>
      </c>
      <c r="O35" s="3">
        <v>3</v>
      </c>
      <c r="P35" s="3"/>
      <c r="Q35" s="3"/>
      <c r="R35" s="3"/>
      <c r="S35" s="3"/>
      <c r="T35" s="10"/>
    </row>
    <row r="36" spans="4:20" ht="15.75" thickBot="1" x14ac:dyDescent="0.3">
      <c r="D36" s="9"/>
      <c r="E36" s="5" t="s">
        <v>38</v>
      </c>
      <c r="F36" s="5"/>
      <c r="G36" s="5"/>
      <c r="K36" s="10"/>
      <c r="L36" s="9"/>
      <c r="T36" s="10"/>
    </row>
    <row r="37" spans="4:20" x14ac:dyDescent="0.25">
      <c r="D37" s="9"/>
      <c r="E37" t="s">
        <v>21</v>
      </c>
      <c r="F37">
        <v>5</v>
      </c>
      <c r="G37">
        <v>5</v>
      </c>
      <c r="K37" s="10"/>
      <c r="L37" s="9"/>
      <c r="T37" s="10"/>
    </row>
    <row r="38" spans="4:20" x14ac:dyDescent="0.25">
      <c r="D38" s="9"/>
      <c r="E38" t="s">
        <v>22</v>
      </c>
      <c r="F38">
        <v>430</v>
      </c>
      <c r="G38">
        <v>456</v>
      </c>
      <c r="K38" s="10"/>
      <c r="L38" s="9"/>
      <c r="T38" s="10"/>
    </row>
    <row r="39" spans="4:20" x14ac:dyDescent="0.25">
      <c r="D39" s="9"/>
      <c r="E39" t="s">
        <v>23</v>
      </c>
      <c r="F39">
        <v>86</v>
      </c>
      <c r="G39">
        <v>91.2</v>
      </c>
      <c r="K39" s="10"/>
      <c r="L39" s="9"/>
      <c r="N39" t="s">
        <v>47</v>
      </c>
      <c r="T39" s="10"/>
    </row>
    <row r="40" spans="4:20" ht="15.75" thickBot="1" x14ac:dyDescent="0.3">
      <c r="D40" s="9"/>
      <c r="E40" t="s">
        <v>24</v>
      </c>
      <c r="F40">
        <v>2.5</v>
      </c>
      <c r="G40">
        <v>3.6999999999999997</v>
      </c>
      <c r="K40" s="10"/>
      <c r="L40" s="9"/>
      <c r="T40" s="10"/>
    </row>
    <row r="41" spans="4:20" x14ac:dyDescent="0.25">
      <c r="D41" s="9"/>
      <c r="K41" s="10"/>
      <c r="L41" s="9"/>
      <c r="N41" s="4" t="s">
        <v>19</v>
      </c>
      <c r="O41" s="4" t="s">
        <v>21</v>
      </c>
      <c r="P41" s="4" t="s">
        <v>22</v>
      </c>
      <c r="Q41" s="4" t="s">
        <v>23</v>
      </c>
      <c r="R41" s="4" t="s">
        <v>24</v>
      </c>
      <c r="T41" s="10"/>
    </row>
    <row r="42" spans="4:20" x14ac:dyDescent="0.25">
      <c r="D42" s="9"/>
      <c r="K42" s="10"/>
      <c r="L42" s="9"/>
      <c r="N42" t="s">
        <v>48</v>
      </c>
      <c r="O42">
        <v>3</v>
      </c>
      <c r="P42">
        <v>262</v>
      </c>
      <c r="Q42">
        <v>87.333333333333329</v>
      </c>
      <c r="R42">
        <v>25.333333333333332</v>
      </c>
      <c r="T42" s="10"/>
    </row>
    <row r="43" spans="4:20" ht="15.75" thickBot="1" x14ac:dyDescent="0.3">
      <c r="D43" s="9"/>
      <c r="E43" t="s">
        <v>28</v>
      </c>
      <c r="K43" s="10"/>
      <c r="L43" s="9"/>
      <c r="N43" t="s">
        <v>49</v>
      </c>
      <c r="O43">
        <v>3</v>
      </c>
      <c r="P43">
        <v>248</v>
      </c>
      <c r="Q43">
        <v>82.666666666666671</v>
      </c>
      <c r="R43">
        <v>50.333333333333329</v>
      </c>
      <c r="T43" s="10"/>
    </row>
    <row r="44" spans="4:20" x14ac:dyDescent="0.25">
      <c r="D44" s="9"/>
      <c r="E44" s="4" t="s">
        <v>29</v>
      </c>
      <c r="F44" s="4" t="s">
        <v>30</v>
      </c>
      <c r="G44" s="4" t="s">
        <v>31</v>
      </c>
      <c r="H44" s="4" t="s">
        <v>32</v>
      </c>
      <c r="I44" s="4" t="s">
        <v>33</v>
      </c>
      <c r="J44" s="4" t="s">
        <v>34</v>
      </c>
      <c r="K44" s="13" t="s">
        <v>35</v>
      </c>
      <c r="L44" s="9"/>
      <c r="N44" t="s">
        <v>50</v>
      </c>
      <c r="O44">
        <v>3</v>
      </c>
      <c r="P44">
        <v>261</v>
      </c>
      <c r="Q44">
        <v>87</v>
      </c>
      <c r="R44">
        <v>49</v>
      </c>
      <c r="T44" s="10"/>
    </row>
    <row r="45" spans="4:20" x14ac:dyDescent="0.25">
      <c r="D45" s="9"/>
      <c r="E45" t="s">
        <v>40</v>
      </c>
      <c r="F45">
        <v>0</v>
      </c>
      <c r="G45">
        <v>0</v>
      </c>
      <c r="H45">
        <v>65535</v>
      </c>
      <c r="I45">
        <v>65535</v>
      </c>
      <c r="J45" t="e">
        <v>#NUM!</v>
      </c>
      <c r="K45" s="10" t="e">
        <v>#NUM!</v>
      </c>
      <c r="L45" s="9"/>
      <c r="N45" t="s">
        <v>51</v>
      </c>
      <c r="O45">
        <v>3</v>
      </c>
      <c r="P45">
        <v>256</v>
      </c>
      <c r="Q45">
        <v>85.333333333333329</v>
      </c>
      <c r="R45">
        <v>36.333333333333329</v>
      </c>
      <c r="T45" s="10"/>
    </row>
    <row r="46" spans="4:20" x14ac:dyDescent="0.25">
      <c r="D46" s="9"/>
      <c r="E46" t="s">
        <v>41</v>
      </c>
      <c r="F46">
        <v>67.600000000000009</v>
      </c>
      <c r="G46">
        <v>1</v>
      </c>
      <c r="H46">
        <v>67.600000000000009</v>
      </c>
      <c r="I46">
        <v>21.806451612903231</v>
      </c>
      <c r="J46">
        <v>1.6030621844738101E-3</v>
      </c>
      <c r="K46" s="10">
        <v>5.3176550715787174</v>
      </c>
      <c r="L46" s="9"/>
      <c r="T46" s="10"/>
    </row>
    <row r="47" spans="4:20" x14ac:dyDescent="0.25">
      <c r="D47" s="9"/>
      <c r="E47" t="s">
        <v>42</v>
      </c>
      <c r="F47">
        <v>0</v>
      </c>
      <c r="G47">
        <v>0</v>
      </c>
      <c r="H47">
        <v>65535</v>
      </c>
      <c r="I47">
        <v>65535</v>
      </c>
      <c r="J47" t="e">
        <v>#NUM!</v>
      </c>
      <c r="K47" s="10" t="e">
        <v>#NUM!</v>
      </c>
      <c r="L47" s="9"/>
      <c r="N47" t="s">
        <v>25</v>
      </c>
      <c r="O47">
        <v>4</v>
      </c>
      <c r="P47">
        <v>316</v>
      </c>
      <c r="Q47">
        <v>79</v>
      </c>
      <c r="R47">
        <v>8.6666666666666661</v>
      </c>
      <c r="T47" s="10"/>
    </row>
    <row r="48" spans="4:20" x14ac:dyDescent="0.25">
      <c r="D48" s="9"/>
      <c r="E48" t="s">
        <v>43</v>
      </c>
      <c r="F48">
        <v>24.799999999999997</v>
      </c>
      <c r="G48">
        <v>8</v>
      </c>
      <c r="H48">
        <v>3.0999999999999996</v>
      </c>
      <c r="K48" s="10"/>
      <c r="L48" s="9"/>
      <c r="N48" t="s">
        <v>26</v>
      </c>
      <c r="O48">
        <v>4</v>
      </c>
      <c r="P48">
        <v>345</v>
      </c>
      <c r="Q48">
        <v>86.25</v>
      </c>
      <c r="R48">
        <v>2.9166666666666665</v>
      </c>
      <c r="T48" s="10"/>
    </row>
    <row r="49" spans="4:20" ht="15.75" thickBot="1" x14ac:dyDescent="0.3">
      <c r="D49" s="9"/>
      <c r="K49" s="10"/>
      <c r="L49" s="9"/>
      <c r="N49" s="3" t="s">
        <v>27</v>
      </c>
      <c r="O49" s="3">
        <v>4</v>
      </c>
      <c r="P49" s="3">
        <v>366</v>
      </c>
      <c r="Q49" s="3">
        <v>91.5</v>
      </c>
      <c r="R49" s="3">
        <v>4.333333333333333</v>
      </c>
      <c r="T49" s="10"/>
    </row>
    <row r="50" spans="4:20" ht="15.75" thickBot="1" x14ac:dyDescent="0.3">
      <c r="D50" s="9"/>
      <c r="E50" s="3" t="s">
        <v>38</v>
      </c>
      <c r="F50" s="3">
        <v>92.4</v>
      </c>
      <c r="G50" s="3">
        <v>9</v>
      </c>
      <c r="H50" s="3"/>
      <c r="I50" s="3"/>
      <c r="J50" s="3"/>
      <c r="K50" s="12"/>
      <c r="L50" s="9"/>
      <c r="T50" s="10"/>
    </row>
    <row r="51" spans="4:20" x14ac:dyDescent="0.25">
      <c r="D51" s="9"/>
      <c r="K51" s="10"/>
      <c r="L51" s="9"/>
      <c r="T51" s="10"/>
    </row>
    <row r="52" spans="4:20" ht="15.75" thickBot="1" x14ac:dyDescent="0.3">
      <c r="D52" s="9"/>
      <c r="K52" s="10"/>
      <c r="L52" s="9"/>
      <c r="N52" t="s">
        <v>28</v>
      </c>
      <c r="T52" s="10"/>
    </row>
    <row r="53" spans="4:20" x14ac:dyDescent="0.25">
      <c r="D53" s="9"/>
      <c r="K53" s="10"/>
      <c r="L53" s="9"/>
      <c r="N53" s="4" t="s">
        <v>29</v>
      </c>
      <c r="O53" s="4" t="s">
        <v>30</v>
      </c>
      <c r="P53" s="4" t="s">
        <v>31</v>
      </c>
      <c r="Q53" s="4" t="s">
        <v>32</v>
      </c>
      <c r="R53" s="4" t="s">
        <v>33</v>
      </c>
      <c r="S53" s="4" t="s">
        <v>34</v>
      </c>
      <c r="T53" s="13" t="s">
        <v>35</v>
      </c>
    </row>
    <row r="54" spans="4:20" x14ac:dyDescent="0.25">
      <c r="D54" s="9"/>
      <c r="K54" s="10"/>
      <c r="L54" s="9"/>
      <c r="N54" t="s">
        <v>52</v>
      </c>
      <c r="O54">
        <v>40.916666666666686</v>
      </c>
      <c r="P54">
        <v>3</v>
      </c>
      <c r="Q54">
        <v>13.638888888888895</v>
      </c>
      <c r="R54">
        <v>11.975609756097599</v>
      </c>
      <c r="S54">
        <v>6.0564702847416222E-3</v>
      </c>
      <c r="T54" s="10">
        <v>4.7570626630894131</v>
      </c>
    </row>
    <row r="55" spans="4:20" x14ac:dyDescent="0.25">
      <c r="D55" s="9"/>
      <c r="K55" s="10"/>
      <c r="L55" s="9"/>
      <c r="N55" t="s">
        <v>41</v>
      </c>
      <c r="O55">
        <v>315.16666666666669</v>
      </c>
      <c r="P55">
        <v>2</v>
      </c>
      <c r="Q55">
        <v>157.58333333333334</v>
      </c>
      <c r="R55">
        <v>138.36585365853696</v>
      </c>
      <c r="S55">
        <v>9.5571896459794151E-6</v>
      </c>
      <c r="T55" s="10">
        <v>5.1432528497847176</v>
      </c>
    </row>
    <row r="56" spans="4:20" x14ac:dyDescent="0.25">
      <c r="D56" s="9"/>
      <c r="K56" s="10"/>
      <c r="L56" s="9"/>
      <c r="N56" t="s">
        <v>53</v>
      </c>
      <c r="O56">
        <v>6.8333333333333144</v>
      </c>
      <c r="P56">
        <v>6</v>
      </c>
      <c r="Q56">
        <v>1.1388888888888857</v>
      </c>
      <c r="T56" s="10"/>
    </row>
    <row r="57" spans="4:20" x14ac:dyDescent="0.25">
      <c r="D57" s="9"/>
      <c r="K57" s="10"/>
      <c r="L57" s="9"/>
      <c r="T57" s="10"/>
    </row>
    <row r="58" spans="4:20" ht="15.75" thickBot="1" x14ac:dyDescent="0.3">
      <c r="D58" s="11"/>
      <c r="E58" s="3"/>
      <c r="F58" s="3"/>
      <c r="G58" s="3"/>
      <c r="H58" s="3"/>
      <c r="I58" s="3"/>
      <c r="J58" s="3"/>
      <c r="K58" s="12"/>
      <c r="L58" s="11"/>
      <c r="M58" s="3"/>
      <c r="N58" s="3" t="s">
        <v>38</v>
      </c>
      <c r="O58" s="3">
        <v>362.91666666666669</v>
      </c>
      <c r="P58" s="3">
        <v>11</v>
      </c>
      <c r="Q58" s="3"/>
      <c r="R58" s="3"/>
      <c r="S58" s="3"/>
      <c r="T58" s="12"/>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5E2E2-969B-4760-BB58-D8D510F867A7}">
  <dimension ref="A3:B11"/>
  <sheetViews>
    <sheetView workbookViewId="0">
      <selection activeCell="A2" sqref="A2:C11"/>
    </sheetView>
  </sheetViews>
  <sheetFormatPr defaultRowHeight="15" x14ac:dyDescent="0.25"/>
  <cols>
    <col min="1" max="1" width="13.140625" bestFit="1" customWidth="1"/>
    <col min="2" max="2" width="19.5703125" bestFit="1" customWidth="1"/>
  </cols>
  <sheetData>
    <row r="3" spans="1:2" x14ac:dyDescent="0.25">
      <c r="A3" s="17" t="s">
        <v>54</v>
      </c>
      <c r="B3" t="s">
        <v>90</v>
      </c>
    </row>
    <row r="4" spans="1:2" x14ac:dyDescent="0.25">
      <c r="A4" s="18" t="s">
        <v>72</v>
      </c>
      <c r="B4" s="23">
        <v>850</v>
      </c>
    </row>
    <row r="5" spans="1:2" x14ac:dyDescent="0.25">
      <c r="A5" s="19" t="s">
        <v>76</v>
      </c>
      <c r="B5" s="23">
        <v>1200</v>
      </c>
    </row>
    <row r="6" spans="1:2" x14ac:dyDescent="0.25">
      <c r="A6" s="19" t="s">
        <v>71</v>
      </c>
      <c r="B6" s="23">
        <v>500</v>
      </c>
    </row>
    <row r="7" spans="1:2" x14ac:dyDescent="0.25">
      <c r="A7" s="18" t="s">
        <v>67</v>
      </c>
      <c r="B7" s="23">
        <v>25666.666666666668</v>
      </c>
    </row>
    <row r="8" spans="1:2" x14ac:dyDescent="0.25">
      <c r="A8" s="19" t="s">
        <v>66</v>
      </c>
      <c r="B8" s="23">
        <v>50000</v>
      </c>
    </row>
    <row r="9" spans="1:2" x14ac:dyDescent="0.25">
      <c r="A9" s="19" t="s">
        <v>85</v>
      </c>
      <c r="B9" s="23">
        <v>12000</v>
      </c>
    </row>
    <row r="10" spans="1:2" x14ac:dyDescent="0.25">
      <c r="A10" s="19" t="s">
        <v>82</v>
      </c>
      <c r="B10" s="23">
        <v>15000</v>
      </c>
    </row>
    <row r="11" spans="1:2" x14ac:dyDescent="0.25">
      <c r="A11" s="18" t="s">
        <v>55</v>
      </c>
      <c r="B11" s="23">
        <v>15740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BCF8E-5396-414E-89CC-8DB816A6D437}">
  <dimension ref="B7:R39"/>
  <sheetViews>
    <sheetView tabSelected="1" topLeftCell="A6" workbookViewId="0">
      <selection activeCell="K39" sqref="K39"/>
    </sheetView>
  </sheetViews>
  <sheetFormatPr defaultRowHeight="15" x14ac:dyDescent="0.25"/>
  <cols>
    <col min="1" max="1" width="11.140625" bestFit="1" customWidth="1"/>
    <col min="2" max="2" width="13.140625" bestFit="1" customWidth="1"/>
    <col min="3" max="3" width="15.42578125" bestFit="1" customWidth="1"/>
    <col min="4" max="6" width="11.140625" bestFit="1" customWidth="1"/>
    <col min="7" max="7" width="13.140625" bestFit="1" customWidth="1"/>
    <col min="8" max="8" width="19.5703125" bestFit="1" customWidth="1"/>
    <col min="11" max="11" width="13.140625" bestFit="1" customWidth="1"/>
    <col min="12" max="12" width="19.5703125" bestFit="1" customWidth="1"/>
    <col min="17" max="17" width="13.140625" bestFit="1" customWidth="1"/>
    <col min="18" max="18" width="16" bestFit="1" customWidth="1"/>
  </cols>
  <sheetData>
    <row r="7" spans="2:18" ht="30" x14ac:dyDescent="0.25">
      <c r="H7" s="20" t="s">
        <v>56</v>
      </c>
      <c r="I7" s="20" t="s">
        <v>57</v>
      </c>
      <c r="J7" s="20" t="s">
        <v>58</v>
      </c>
      <c r="K7" s="20" t="s">
        <v>59</v>
      </c>
      <c r="L7" s="20" t="s">
        <v>60</v>
      </c>
      <c r="M7" s="20" t="s">
        <v>61</v>
      </c>
      <c r="N7" s="20" t="s">
        <v>62</v>
      </c>
      <c r="O7" s="20" t="s">
        <v>63</v>
      </c>
      <c r="Q7" s="17" t="s">
        <v>54</v>
      </c>
      <c r="R7" t="s">
        <v>89</v>
      </c>
    </row>
    <row r="8" spans="2:18" x14ac:dyDescent="0.25">
      <c r="H8" s="21" t="s">
        <v>64</v>
      </c>
      <c r="I8" s="22">
        <v>45658</v>
      </c>
      <c r="J8" s="21" t="s">
        <v>65</v>
      </c>
      <c r="K8" s="21" t="s">
        <v>66</v>
      </c>
      <c r="L8" s="21" t="s">
        <v>67</v>
      </c>
      <c r="M8" s="21" t="s">
        <v>68</v>
      </c>
      <c r="N8" s="21">
        <v>2</v>
      </c>
      <c r="O8" s="21">
        <v>50000</v>
      </c>
      <c r="Q8" s="18" t="s">
        <v>70</v>
      </c>
      <c r="R8" s="23">
        <v>16000</v>
      </c>
    </row>
    <row r="9" spans="2:18" x14ac:dyDescent="0.25">
      <c r="B9" s="17" t="s">
        <v>54</v>
      </c>
      <c r="C9" t="s">
        <v>91</v>
      </c>
      <c r="H9" s="21" t="s">
        <v>69</v>
      </c>
      <c r="I9" s="22">
        <v>45659</v>
      </c>
      <c r="J9" s="21" t="s">
        <v>70</v>
      </c>
      <c r="K9" s="21" t="s">
        <v>71</v>
      </c>
      <c r="L9" s="21" t="s">
        <v>72</v>
      </c>
      <c r="M9" s="21" t="s">
        <v>73</v>
      </c>
      <c r="N9" s="21">
        <v>5</v>
      </c>
      <c r="O9" s="21">
        <v>500</v>
      </c>
      <c r="Q9" s="18" t="s">
        <v>55</v>
      </c>
      <c r="R9" s="23">
        <v>16000</v>
      </c>
    </row>
    <row r="10" spans="2:18" ht="30" x14ac:dyDescent="0.25">
      <c r="B10" s="18" t="s">
        <v>77</v>
      </c>
      <c r="C10" s="23">
        <v>5</v>
      </c>
      <c r="H10" s="21" t="s">
        <v>74</v>
      </c>
      <c r="I10" s="22">
        <v>45660</v>
      </c>
      <c r="J10" s="21" t="s">
        <v>75</v>
      </c>
      <c r="K10" s="21" t="s">
        <v>76</v>
      </c>
      <c r="L10" s="21" t="s">
        <v>72</v>
      </c>
      <c r="M10" s="21" t="s">
        <v>77</v>
      </c>
      <c r="N10" s="21">
        <v>3</v>
      </c>
      <c r="O10" s="21">
        <v>1200</v>
      </c>
    </row>
    <row r="11" spans="2:18" x14ac:dyDescent="0.25">
      <c r="B11" s="18" t="s">
        <v>73</v>
      </c>
      <c r="C11" s="23">
        <v>16</v>
      </c>
      <c r="H11" s="21" t="s">
        <v>78</v>
      </c>
      <c r="I11" s="22">
        <v>45661</v>
      </c>
      <c r="J11" s="21" t="s">
        <v>79</v>
      </c>
      <c r="K11" s="21" t="s">
        <v>66</v>
      </c>
      <c r="L11" s="21" t="s">
        <v>67</v>
      </c>
      <c r="M11" s="21" t="s">
        <v>80</v>
      </c>
      <c r="N11" s="21">
        <v>1</v>
      </c>
      <c r="O11" s="21">
        <v>50000</v>
      </c>
    </row>
    <row r="12" spans="2:18" x14ac:dyDescent="0.25">
      <c r="B12" s="18" t="s">
        <v>68</v>
      </c>
      <c r="C12" s="23">
        <v>5</v>
      </c>
      <c r="H12" s="21" t="s">
        <v>81</v>
      </c>
      <c r="I12" s="22">
        <v>45662</v>
      </c>
      <c r="J12" s="21" t="s">
        <v>65</v>
      </c>
      <c r="K12" s="21" t="s">
        <v>82</v>
      </c>
      <c r="L12" s="21" t="s">
        <v>67</v>
      </c>
      <c r="M12" s="21" t="s">
        <v>68</v>
      </c>
      <c r="N12" s="21">
        <v>2</v>
      </c>
      <c r="O12" s="21">
        <v>15000</v>
      </c>
    </row>
    <row r="13" spans="2:18" x14ac:dyDescent="0.25">
      <c r="B13" s="18" t="s">
        <v>80</v>
      </c>
      <c r="C13" s="23">
        <v>5</v>
      </c>
      <c r="H13" s="21" t="s">
        <v>83</v>
      </c>
      <c r="I13" s="22">
        <v>45663</v>
      </c>
      <c r="J13" s="21" t="s">
        <v>70</v>
      </c>
      <c r="K13" s="21" t="s">
        <v>71</v>
      </c>
      <c r="L13" s="21" t="s">
        <v>72</v>
      </c>
      <c r="M13" s="21" t="s">
        <v>73</v>
      </c>
      <c r="N13" s="21">
        <v>10</v>
      </c>
      <c r="O13" s="21">
        <v>500</v>
      </c>
    </row>
    <row r="14" spans="2:18" x14ac:dyDescent="0.25">
      <c r="B14" s="18" t="s">
        <v>55</v>
      </c>
      <c r="C14" s="23">
        <v>31</v>
      </c>
      <c r="H14" s="21" t="s">
        <v>84</v>
      </c>
      <c r="I14" s="22">
        <v>45664</v>
      </c>
      <c r="J14" s="21" t="s">
        <v>75</v>
      </c>
      <c r="K14" s="21" t="s">
        <v>85</v>
      </c>
      <c r="L14" s="21" t="s">
        <v>67</v>
      </c>
      <c r="M14" s="21" t="s">
        <v>77</v>
      </c>
      <c r="N14" s="21">
        <v>2</v>
      </c>
      <c r="O14" s="21">
        <v>12000</v>
      </c>
    </row>
    <row r="15" spans="2:18" ht="30" x14ac:dyDescent="0.25">
      <c r="H15" s="21" t="s">
        <v>86</v>
      </c>
      <c r="I15" s="22">
        <v>45665</v>
      </c>
      <c r="J15" s="21" t="s">
        <v>79</v>
      </c>
      <c r="K15" s="21" t="s">
        <v>76</v>
      </c>
      <c r="L15" s="21" t="s">
        <v>72</v>
      </c>
      <c r="M15" s="21" t="s">
        <v>80</v>
      </c>
      <c r="N15" s="21">
        <v>4</v>
      </c>
      <c r="O15" s="21">
        <v>1200</v>
      </c>
    </row>
    <row r="16" spans="2:18" x14ac:dyDescent="0.25">
      <c r="H16" s="21" t="s">
        <v>87</v>
      </c>
      <c r="I16" s="22">
        <v>45666</v>
      </c>
      <c r="J16" s="21" t="s">
        <v>65</v>
      </c>
      <c r="K16" s="21" t="s">
        <v>85</v>
      </c>
      <c r="L16" s="21" t="s">
        <v>67</v>
      </c>
      <c r="M16" s="21" t="s">
        <v>68</v>
      </c>
      <c r="N16" s="21">
        <v>1</v>
      </c>
      <c r="O16" s="21">
        <v>12000</v>
      </c>
    </row>
    <row r="17" spans="2:15" x14ac:dyDescent="0.25">
      <c r="H17" s="21" t="s">
        <v>88</v>
      </c>
      <c r="I17" s="22">
        <v>45667</v>
      </c>
      <c r="J17" s="21" t="s">
        <v>70</v>
      </c>
      <c r="K17" s="21" t="s">
        <v>82</v>
      </c>
      <c r="L17" s="21" t="s">
        <v>67</v>
      </c>
      <c r="M17" s="21" t="s">
        <v>73</v>
      </c>
      <c r="N17" s="21">
        <v>1</v>
      </c>
      <c r="O17" s="21">
        <v>15000</v>
      </c>
    </row>
    <row r="22" spans="2:15" x14ac:dyDescent="0.25">
      <c r="G22" s="17" t="s">
        <v>54</v>
      </c>
      <c r="H22" t="s">
        <v>90</v>
      </c>
    </row>
    <row r="23" spans="2:15" x14ac:dyDescent="0.25">
      <c r="G23" s="18" t="s">
        <v>65</v>
      </c>
      <c r="H23" s="23">
        <v>25666.666666666668</v>
      </c>
    </row>
    <row r="24" spans="2:15" x14ac:dyDescent="0.25">
      <c r="G24" s="18" t="s">
        <v>79</v>
      </c>
      <c r="H24" s="23">
        <v>25600</v>
      </c>
      <c r="K24" s="17" t="s">
        <v>54</v>
      </c>
      <c r="L24" t="s">
        <v>90</v>
      </c>
    </row>
    <row r="25" spans="2:15" x14ac:dyDescent="0.25">
      <c r="G25" s="18" t="s">
        <v>75</v>
      </c>
      <c r="H25" s="23">
        <v>6600</v>
      </c>
      <c r="K25" s="18" t="s">
        <v>72</v>
      </c>
      <c r="L25" s="23">
        <v>850</v>
      </c>
    </row>
    <row r="26" spans="2:15" x14ac:dyDescent="0.25">
      <c r="G26" s="18" t="s">
        <v>70</v>
      </c>
      <c r="H26" s="23">
        <v>5333.333333333333</v>
      </c>
      <c r="K26" s="19" t="s">
        <v>76</v>
      </c>
      <c r="L26" s="23">
        <v>1200</v>
      </c>
    </row>
    <row r="27" spans="2:15" x14ac:dyDescent="0.25">
      <c r="G27" s="18" t="s">
        <v>55</v>
      </c>
      <c r="H27" s="23">
        <v>15740</v>
      </c>
      <c r="K27" s="19" t="s">
        <v>71</v>
      </c>
      <c r="L27" s="23">
        <v>500</v>
      </c>
    </row>
    <row r="28" spans="2:15" x14ac:dyDescent="0.25">
      <c r="K28" s="18" t="s">
        <v>67</v>
      </c>
      <c r="L28" s="23">
        <v>25666.666666666668</v>
      </c>
    </row>
    <row r="29" spans="2:15" x14ac:dyDescent="0.25">
      <c r="K29" s="18" t="s">
        <v>55</v>
      </c>
      <c r="L29" s="23">
        <v>15740</v>
      </c>
    </row>
    <row r="31" spans="2:15" x14ac:dyDescent="0.25">
      <c r="B31" s="17" t="s">
        <v>54</v>
      </c>
      <c r="C31" t="s">
        <v>92</v>
      </c>
    </row>
    <row r="32" spans="2:15" x14ac:dyDescent="0.25">
      <c r="B32" s="18" t="s">
        <v>55</v>
      </c>
      <c r="C32" s="23">
        <v>3</v>
      </c>
    </row>
    <row r="33" spans="2:11" x14ac:dyDescent="0.25">
      <c r="B33" s="18" t="s">
        <v>73</v>
      </c>
      <c r="C33" s="23">
        <v>1</v>
      </c>
    </row>
    <row r="34" spans="2:11" x14ac:dyDescent="0.25">
      <c r="B34" s="18" t="s">
        <v>68</v>
      </c>
      <c r="C34" s="23">
        <v>1</v>
      </c>
    </row>
    <row r="35" spans="2:11" x14ac:dyDescent="0.25">
      <c r="B35" s="18" t="s">
        <v>80</v>
      </c>
      <c r="C35" s="23">
        <v>1</v>
      </c>
    </row>
    <row r="36" spans="2:11" x14ac:dyDescent="0.25">
      <c r="B36" s="18" t="s">
        <v>55</v>
      </c>
      <c r="C36" s="23">
        <v>6</v>
      </c>
    </row>
    <row r="39" spans="2:11" x14ac:dyDescent="0.25">
      <c r="K39" t="s">
        <v>93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04B840-7806-4D88-8EA7-A28AC11FF71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Sheet5</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23691A32H2@mits.com</dc:creator>
  <cp:lastModifiedBy>23691a32h2@mits.ac.in</cp:lastModifiedBy>
  <dcterms:created xsi:type="dcterms:W3CDTF">2026-06-06T03:52:05Z</dcterms:created>
  <dcterms:modified xsi:type="dcterms:W3CDTF">2026-06-06T09:04:51Z</dcterms:modified>
</cp:coreProperties>
</file>